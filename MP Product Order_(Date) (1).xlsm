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uti D\Documents\MailPlus\"/>
    </mc:Choice>
  </mc:AlternateContent>
  <xr:revisionPtr revIDLastSave="0" documentId="8_{CDEB303E-74A1-42F8-B22B-DE5510883B99}" xr6:coauthVersionLast="45" xr6:coauthVersionMax="45" xr10:uidLastSave="{00000000-0000-0000-0000-000000000000}"/>
  <bookViews>
    <workbookView xWindow="-110" yWindow="-110" windowWidth="22780" windowHeight="14660" xr2:uid="{00000000-000D-0000-FFFF-FFFF00000000}"/>
  </bookViews>
  <sheets>
    <sheet name="Product Order" sheetId="1" r:id="rId1"/>
  </sheets>
  <definedNames>
    <definedName name="_xlnm._FilterDatabase" localSheetId="0" hidden="1">'Product Order'!$D$1:$D$135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6" i="1" l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6" i="1" l="1"/>
  <c r="I7" i="1"/>
  <c r="I8" i="1"/>
  <c r="I5" i="1" l="1"/>
  <c r="U14" i="1"/>
</calcChain>
</file>

<file path=xl/sharedStrings.xml><?xml version="1.0" encoding="utf-8"?>
<sst xmlns="http://schemas.openxmlformats.org/spreadsheetml/2006/main" count="992" uniqueCount="581">
  <si>
    <t>MP Internal ID</t>
  </si>
  <si>
    <t>Toll Account Number</t>
  </si>
  <si>
    <t>Account Name</t>
  </si>
  <si>
    <r>
      <t xml:space="preserve">Order Quantity (Pack of 10) - </t>
    </r>
    <r>
      <rPr>
        <i/>
        <sz val="11"/>
        <color theme="0"/>
        <rFont val="Calibri"/>
        <family val="2"/>
        <scheme val="minor"/>
      </rPr>
      <t>MailPlus Use</t>
    </r>
  </si>
  <si>
    <t>Total</t>
  </si>
  <si>
    <t>Delivery Details</t>
  </si>
  <si>
    <r>
      <t xml:space="preserve">Delivery Connote
</t>
    </r>
    <r>
      <rPr>
        <i/>
        <sz val="11"/>
        <color theme="0"/>
        <rFont val="Calibri"/>
        <family val="2"/>
        <scheme val="minor"/>
      </rPr>
      <t>Toll Use</t>
    </r>
  </si>
  <si>
    <t>B4 Envelope</t>
  </si>
  <si>
    <t>1kg Satchel</t>
  </si>
  <si>
    <t>3kg Satchel</t>
  </si>
  <si>
    <t>5kg Satchel</t>
  </si>
  <si>
    <t>Delivery Method</t>
  </si>
  <si>
    <t>Receiver</t>
  </si>
  <si>
    <t>DX Address</t>
  </si>
  <si>
    <t>DX Exchange</t>
  </si>
  <si>
    <t>State</t>
  </si>
  <si>
    <t>Postcode</t>
  </si>
  <si>
    <t>HOW TO USE THIS ORDER FORM</t>
  </si>
  <si>
    <t>TGES0577</t>
  </si>
  <si>
    <t>TGES0578</t>
  </si>
  <si>
    <t>TGES0579</t>
  </si>
  <si>
    <t>TGES0580</t>
  </si>
  <si>
    <t xml:space="preserve">D93488 </t>
  </si>
  <si>
    <t>MailPlus - Acacia Ridge</t>
  </si>
  <si>
    <t>Parcels - Priority</t>
  </si>
  <si>
    <t>Rick Zammitt</t>
  </si>
  <si>
    <t>8 Pathfinder Rd</t>
  </si>
  <si>
    <t xml:space="preserve">Coomera Waters </t>
  </si>
  <si>
    <t>QLD</t>
  </si>
  <si>
    <t>STEP 1:</t>
  </si>
  <si>
    <r>
      <rPr>
        <b/>
        <sz val="11"/>
        <color theme="1"/>
        <rFont val="Calibri"/>
        <family val="2"/>
        <scheme val="minor"/>
      </rPr>
      <t xml:space="preserve">Enter the order quantities in cells D - I </t>
    </r>
    <r>
      <rPr>
        <sz val="11"/>
        <color theme="1"/>
        <rFont val="Calibri"/>
        <family val="2"/>
        <scheme val="minor"/>
      </rPr>
      <t xml:space="preserve">for each franchisee </t>
    </r>
  </si>
  <si>
    <t xml:space="preserve">D93410 </t>
  </si>
  <si>
    <t>MailPlus - Adelaide CBD</t>
  </si>
  <si>
    <t>DX Premium</t>
  </si>
  <si>
    <t>MailPlus</t>
  </si>
  <si>
    <t>Adelaide</t>
  </si>
  <si>
    <t>SA</t>
  </si>
  <si>
    <t xml:space="preserve">D93481 </t>
  </si>
  <si>
    <t>MailPlus - Airport West</t>
  </si>
  <si>
    <t xml:space="preserve">Unit 1/175 Bellevue Avenue </t>
  </si>
  <si>
    <t xml:space="preserve">Rosanna </t>
  </si>
  <si>
    <t>VIC</t>
  </si>
  <si>
    <t xml:space="preserve">STEP 2: </t>
  </si>
  <si>
    <r>
      <rPr>
        <b/>
        <sz val="11"/>
        <color theme="1"/>
        <rFont val="Calibri"/>
        <family val="2"/>
        <scheme val="minor"/>
      </rPr>
      <t>In the Total column (J), click on the filter button and unselect '0'</t>
    </r>
    <r>
      <rPr>
        <sz val="11"/>
        <color theme="1"/>
        <rFont val="Calibri"/>
        <family val="2"/>
        <scheme val="minor"/>
      </rPr>
      <t xml:space="preserve"> (this will unselect all franchisees who have not placed an order)</t>
    </r>
  </si>
  <si>
    <t xml:space="preserve">D93353 </t>
  </si>
  <si>
    <t>MailPlus - Albury</t>
  </si>
  <si>
    <t>DX 5816</t>
  </si>
  <si>
    <t>Albury</t>
  </si>
  <si>
    <t>NSW</t>
  </si>
  <si>
    <t xml:space="preserve">D93493 </t>
  </si>
  <si>
    <t>MailPlus - Alexandria</t>
  </si>
  <si>
    <t>9 Culburra Road</t>
  </si>
  <si>
    <t xml:space="preserve">Miranda </t>
  </si>
  <si>
    <t>STEP 3:</t>
  </si>
  <si>
    <r>
      <rPr>
        <b/>
        <sz val="11"/>
        <color theme="1"/>
        <rFont val="Calibri"/>
        <family val="2"/>
        <scheme val="minor"/>
      </rPr>
      <t xml:space="preserve">Save file as the current day's date </t>
    </r>
    <r>
      <rPr>
        <sz val="11"/>
        <color theme="1"/>
        <rFont val="Calibri"/>
        <family val="2"/>
        <scheme val="minor"/>
      </rPr>
      <t>(e.g. MP Product Order_100919)</t>
    </r>
  </si>
  <si>
    <t xml:space="preserve">D93390 </t>
  </si>
  <si>
    <t>MailPlus - Altona</t>
  </si>
  <si>
    <t>DX 37907</t>
  </si>
  <si>
    <t>Point Cook</t>
  </si>
  <si>
    <t xml:space="preserve">D93487 </t>
  </si>
  <si>
    <t>MailPlus - Arncliffe</t>
  </si>
  <si>
    <t>STEP 4:</t>
  </si>
  <si>
    <r>
      <t>Email the order form to</t>
    </r>
    <r>
      <rPr>
        <b/>
        <sz val="11"/>
        <color theme="1"/>
        <rFont val="Calibri"/>
        <family val="2"/>
        <scheme val="minor"/>
      </rPr>
      <t xml:space="preserve"> mailplus.orders@tollgroup.com </t>
    </r>
  </si>
  <si>
    <t xml:space="preserve">D93398 </t>
  </si>
  <si>
    <t>MailPlus - Banyo</t>
  </si>
  <si>
    <t>Bob Schroeder</t>
  </si>
  <si>
    <t>29 Stebbing St</t>
  </si>
  <si>
    <t xml:space="preserve">Aspley </t>
  </si>
  <si>
    <t>4034</t>
  </si>
  <si>
    <t xml:space="preserve">D93412 </t>
  </si>
  <si>
    <t>MailPlus - Barton</t>
  </si>
  <si>
    <t>DX 5649</t>
  </si>
  <si>
    <t>Canberra</t>
  </si>
  <si>
    <t>ACT</t>
  </si>
  <si>
    <t xml:space="preserve">D93391 </t>
  </si>
  <si>
    <t>MailPlus - Baulkham Hills</t>
  </si>
  <si>
    <t>Norwest</t>
  </si>
  <si>
    <t>Last updated:</t>
  </si>
  <si>
    <t xml:space="preserve">D93388 </t>
  </si>
  <si>
    <t>MailPlus - Bayswater</t>
  </si>
  <si>
    <t>DX 15504</t>
  </si>
  <si>
    <t>Boronia</t>
  </si>
  <si>
    <t xml:space="preserve">D93413 </t>
  </si>
  <si>
    <t>MailPlus - Belconnen</t>
  </si>
  <si>
    <t>DX 5613</t>
  </si>
  <si>
    <t xml:space="preserve">D93431 </t>
  </si>
  <si>
    <t>MailPlus - Belmont</t>
  </si>
  <si>
    <t>DX 70003</t>
  </si>
  <si>
    <t>Perth Airport</t>
  </si>
  <si>
    <t>WA</t>
  </si>
  <si>
    <t xml:space="preserve">D93357 </t>
  </si>
  <si>
    <t>MailPlus - Blacktown</t>
  </si>
  <si>
    <t>Blacktown</t>
  </si>
  <si>
    <t xml:space="preserve">D93358 </t>
  </si>
  <si>
    <t>MailPlus - Bondi Junction</t>
  </si>
  <si>
    <t>DX 12015</t>
  </si>
  <si>
    <t>Bondi Junction</t>
  </si>
  <si>
    <t xml:space="preserve">D93464 </t>
  </si>
  <si>
    <t>MailPlus - Booval</t>
  </si>
  <si>
    <t>DX 41203</t>
  </si>
  <si>
    <t>Ipswich</t>
  </si>
  <si>
    <t xml:space="preserve">D93495 </t>
  </si>
  <si>
    <t>MailPlus - Botany Botany</t>
  </si>
  <si>
    <t>Richard Chang</t>
  </si>
  <si>
    <t>45 Siandra Drive</t>
  </si>
  <si>
    <t xml:space="preserve">Kareela </t>
  </si>
  <si>
    <t xml:space="preserve">D93399 </t>
  </si>
  <si>
    <t>MailPlus - Bowen Hills</t>
  </si>
  <si>
    <t>DX 40505</t>
  </si>
  <si>
    <t>Fortitude Valley</t>
  </si>
  <si>
    <t xml:space="preserve">D93387 </t>
  </si>
  <si>
    <t>MailPlus - Box Hill</t>
  </si>
  <si>
    <t>DX 35616</t>
  </si>
  <si>
    <t>Blackburn</t>
  </si>
  <si>
    <t xml:space="preserve">D93505 </t>
  </si>
  <si>
    <t>MailPlus - Braeside</t>
  </si>
  <si>
    <t>Dingley</t>
  </si>
  <si>
    <t xml:space="preserve">D93506 </t>
  </si>
  <si>
    <t>MailPlus - Brendale</t>
  </si>
  <si>
    <t>Greg Hart</t>
  </si>
  <si>
    <t>2 Rafter Ave</t>
  </si>
  <si>
    <t xml:space="preserve">Albany Creek </t>
  </si>
  <si>
    <t xml:space="preserve">D93465 </t>
  </si>
  <si>
    <t>MailPlus - Brisbane Airport</t>
  </si>
  <si>
    <t>DX 389</t>
  </si>
  <si>
    <t>Brisbane</t>
  </si>
  <si>
    <t>D93297</t>
  </si>
  <si>
    <t>MailPlus - Brisbane CBD</t>
  </si>
  <si>
    <t>Rita Ruka</t>
  </si>
  <si>
    <t>Unit 9/30 Slade Street</t>
  </si>
  <si>
    <t>Carseldine</t>
  </si>
  <si>
    <t xml:space="preserve">D93359 </t>
  </si>
  <si>
    <t>MailPlus - Brookvale</t>
  </si>
  <si>
    <t>DX 29109</t>
  </si>
  <si>
    <t>Brookvale</t>
  </si>
  <si>
    <t xml:space="preserve">D93466 </t>
  </si>
  <si>
    <t>MailPlus - Browns Plains</t>
  </si>
  <si>
    <t>David Connor</t>
  </si>
  <si>
    <t>8 Pendennis Pl</t>
  </si>
  <si>
    <t>Carnidale</t>
  </si>
  <si>
    <t xml:space="preserve">D93467 </t>
  </si>
  <si>
    <t>MailPlus - Burleigh</t>
  </si>
  <si>
    <t>DX 42629</t>
  </si>
  <si>
    <t>Robina</t>
  </si>
  <si>
    <t xml:space="preserve">D93360 </t>
  </si>
  <si>
    <t>MailPlus - Byron Bay</t>
  </si>
  <si>
    <t>DX 20408</t>
  </si>
  <si>
    <t>Byron Bay</t>
  </si>
  <si>
    <t xml:space="preserve">D93400 </t>
  </si>
  <si>
    <t>MailPlus - Cairns</t>
  </si>
  <si>
    <t>DX 41279</t>
  </si>
  <si>
    <t>Cairns</t>
  </si>
  <si>
    <t xml:space="preserve">D93479 </t>
  </si>
  <si>
    <t>MailPlus - Campbellfield</t>
  </si>
  <si>
    <t xml:space="preserve">Unit 3/11 Edmund Street </t>
  </si>
  <si>
    <t xml:space="preserve">Maidstone </t>
  </si>
  <si>
    <t xml:space="preserve">D93361 </t>
  </si>
  <si>
    <t>MailPlus - Campbelltown</t>
  </si>
  <si>
    <t>DX 5106</t>
  </si>
  <si>
    <t>Campbelltown</t>
  </si>
  <si>
    <t xml:space="preserve">D93414 </t>
  </si>
  <si>
    <t>MailPlus - Canberra Airport</t>
  </si>
  <si>
    <t>DX 5648</t>
  </si>
  <si>
    <t xml:space="preserve">D93415 </t>
  </si>
  <si>
    <t>MailPlus - Canberra CBD</t>
  </si>
  <si>
    <t>DX 5770</t>
  </si>
  <si>
    <t>D93507</t>
  </si>
  <si>
    <t>MailPlus - Canning Vale</t>
  </si>
  <si>
    <t xml:space="preserve">D93405 </t>
  </si>
  <si>
    <t>MailPlus - Clayton</t>
  </si>
  <si>
    <t>D93508</t>
  </si>
  <si>
    <t>MailPlus - Coffs Harbour</t>
  </si>
  <si>
    <t>DX 7557</t>
  </si>
  <si>
    <t>Coffs Harbour</t>
  </si>
  <si>
    <t xml:space="preserve">D93418 </t>
  </si>
  <si>
    <t>MailPlus - Crows Nest</t>
  </si>
  <si>
    <t>DX 9517</t>
  </si>
  <si>
    <t>Crows Nest</t>
  </si>
  <si>
    <t>D93509</t>
  </si>
  <si>
    <t>MailPlus - Dandenong</t>
  </si>
  <si>
    <t>DX 17514</t>
  </si>
  <si>
    <t>Dandenong</t>
  </si>
  <si>
    <t xml:space="preserve">D93381 </t>
  </si>
  <si>
    <t>MailPlus - Darlinghurst</t>
  </si>
  <si>
    <t>DX 11496</t>
  </si>
  <si>
    <t>Sydney Downtown</t>
  </si>
  <si>
    <t xml:space="preserve">D93463 </t>
  </si>
  <si>
    <t>MailPlus - Darwin</t>
  </si>
  <si>
    <t>NT</t>
  </si>
  <si>
    <t xml:space="preserve">D93510 </t>
  </si>
  <si>
    <t>MailPlus - Devonport</t>
  </si>
  <si>
    <t>DX 70343</t>
  </si>
  <si>
    <t>Devonport</t>
  </si>
  <si>
    <t>TAS</t>
  </si>
  <si>
    <t xml:space="preserve">D93468 </t>
  </si>
  <si>
    <t>MailPlus - Eagle Farm</t>
  </si>
  <si>
    <t>DX 420</t>
  </si>
  <si>
    <t>D93511</t>
  </si>
  <si>
    <t>MailPlus - Epping</t>
  </si>
  <si>
    <t>DX 9658</t>
  </si>
  <si>
    <t>Hornsby</t>
  </si>
  <si>
    <t xml:space="preserve">D93370 </t>
  </si>
  <si>
    <t>MailPlus - Ermington</t>
  </si>
  <si>
    <t>DX 8205</t>
  </si>
  <si>
    <t>Parramatta</t>
  </si>
  <si>
    <t xml:space="preserve">D93366 </t>
  </si>
  <si>
    <t>MailPlus - Fairfield</t>
  </si>
  <si>
    <t>Merrylands</t>
  </si>
  <si>
    <t xml:space="preserve">D93469 </t>
  </si>
  <si>
    <t>MailPlus - Geebung</t>
  </si>
  <si>
    <t>DX 203</t>
  </si>
  <si>
    <t xml:space="preserve">D93389 </t>
  </si>
  <si>
    <t>MailPlus - Geelong</t>
  </si>
  <si>
    <t>DX 22072</t>
  </si>
  <si>
    <t>Geelong</t>
  </si>
  <si>
    <t xml:space="preserve">D93392 </t>
  </si>
  <si>
    <t>MailPlus - Gold Coast</t>
  </si>
  <si>
    <t>DX 41508</t>
  </si>
  <si>
    <t>Southport</t>
  </si>
  <si>
    <t xml:space="preserve">D93362 </t>
  </si>
  <si>
    <t>MailPlus - Gosford Shire</t>
  </si>
  <si>
    <t>DX 7218</t>
  </si>
  <si>
    <t>Gosford</t>
  </si>
  <si>
    <t xml:space="preserve">D93512 </t>
  </si>
  <si>
    <t>MailPlus - Hallam</t>
  </si>
  <si>
    <t>DX 30476</t>
  </si>
  <si>
    <t>Berwick</t>
  </si>
  <si>
    <t>D93423</t>
  </si>
  <si>
    <t>MailPlus - Hamilton</t>
  </si>
  <si>
    <t>DX 303</t>
  </si>
  <si>
    <t xml:space="preserve">D93409 </t>
  </si>
  <si>
    <t>MailPlus - Hawthorn</t>
  </si>
  <si>
    <t>DX 32405</t>
  </si>
  <si>
    <t>Kew</t>
  </si>
  <si>
    <t>D93424</t>
  </si>
  <si>
    <t>MailPlus - Hemmant</t>
  </si>
  <si>
    <t>DX 45362</t>
  </si>
  <si>
    <t>Tingalpa</t>
  </si>
  <si>
    <t>D93513</t>
  </si>
  <si>
    <t>MailPlus - Hobart</t>
  </si>
  <si>
    <t>DX 264</t>
  </si>
  <si>
    <t>Hobart</t>
  </si>
  <si>
    <t xml:space="preserve">D93354 </t>
  </si>
  <si>
    <t>MailPlus - Homebush</t>
  </si>
  <si>
    <t>DX 28810</t>
  </si>
  <si>
    <t>Auburn</t>
  </si>
  <si>
    <t xml:space="preserve">D93393 </t>
  </si>
  <si>
    <t>MailPlus - Hoppers Crossing</t>
  </si>
  <si>
    <t>DX 32076</t>
  </si>
  <si>
    <t>Werribee</t>
  </si>
  <si>
    <t xml:space="preserve">D93365 </t>
  </si>
  <si>
    <t>MailPlus - Hunter Valley</t>
  </si>
  <si>
    <t>DX 21608</t>
  </si>
  <si>
    <t>Maitland</t>
  </si>
  <si>
    <t xml:space="preserve">D93385 </t>
  </si>
  <si>
    <t>MailPlus - Illawarra</t>
  </si>
  <si>
    <t>Wollongong</t>
  </si>
  <si>
    <t xml:space="preserve">D93470 </t>
  </si>
  <si>
    <t>MailPlus - Ipswich</t>
  </si>
  <si>
    <t>DX 41210</t>
  </si>
  <si>
    <t>D93401</t>
  </si>
  <si>
    <t>MailPlus - Jones Jones</t>
  </si>
  <si>
    <t xml:space="preserve">D93430 </t>
  </si>
  <si>
    <t>MailPlus - Kewdale</t>
  </si>
  <si>
    <t>DX 70006</t>
  </si>
  <si>
    <t xml:space="preserve">D93480 </t>
  </si>
  <si>
    <t>MailPlus - Lalor</t>
  </si>
  <si>
    <t xml:space="preserve">D93419 </t>
  </si>
  <si>
    <t>MailPlus - Lane Cove</t>
  </si>
  <si>
    <t>DX 23308</t>
  </si>
  <si>
    <t>Lane Cove</t>
  </si>
  <si>
    <t xml:space="preserve">D93428 </t>
  </si>
  <si>
    <t>MailPlus - Lane Lane</t>
  </si>
  <si>
    <t>Philip Lane</t>
  </si>
  <si>
    <t>4 Shiral Crt</t>
  </si>
  <si>
    <t>Camira</t>
  </si>
  <si>
    <t xml:space="preserve">D93514 </t>
  </si>
  <si>
    <t>MailPlus - Launceston</t>
  </si>
  <si>
    <t>DX 70106</t>
  </si>
  <si>
    <t>Launceston</t>
  </si>
  <si>
    <t xml:space="preserve">D93363 </t>
  </si>
  <si>
    <t>MailPlus - Liverpool</t>
  </si>
  <si>
    <t>Liverpool</t>
  </si>
  <si>
    <t xml:space="preserve">D93515 </t>
  </si>
  <si>
    <t>MailPlus - Mackay</t>
  </si>
  <si>
    <t>DX 41390</t>
  </si>
  <si>
    <t>Mackay</t>
  </si>
  <si>
    <t xml:space="preserve">D93485 </t>
  </si>
  <si>
    <t>MailPlus - Macquarie Park</t>
  </si>
  <si>
    <t>D93516</t>
  </si>
  <si>
    <t>MailPlus - Mascot</t>
  </si>
  <si>
    <t>3 Clover Pl</t>
  </si>
  <si>
    <t>The Ponds</t>
  </si>
  <si>
    <t xml:space="preserve">D93335 </t>
  </si>
  <si>
    <t>MailPlus - Melbourne CBD</t>
  </si>
  <si>
    <t>DX 511</t>
  </si>
  <si>
    <t>Melbourne</t>
  </si>
  <si>
    <t xml:space="preserve">D93356 </t>
  </si>
  <si>
    <t>MailPlus - Milperra</t>
  </si>
  <si>
    <t>DX 11204</t>
  </si>
  <si>
    <t>Bankstown</t>
  </si>
  <si>
    <t xml:space="preserve">D93396 </t>
  </si>
  <si>
    <t>MailPlus - Moorabbin</t>
  </si>
  <si>
    <t>DX 36011</t>
  </si>
  <si>
    <t>Moorabbin</t>
  </si>
  <si>
    <t xml:space="preserve">D93364 </t>
  </si>
  <si>
    <t>MailPlus - Moorebank</t>
  </si>
  <si>
    <t>DX 5036</t>
  </si>
  <si>
    <t xml:space="preserve">D93490 </t>
  </si>
  <si>
    <t>MailPlus - Morningside</t>
  </si>
  <si>
    <t>DX 45363</t>
  </si>
  <si>
    <t xml:space="preserve">D93491 </t>
  </si>
  <si>
    <t>MailPlus - Mount Gravatt</t>
  </si>
  <si>
    <t>Eight Mile Plains</t>
  </si>
  <si>
    <t xml:space="preserve">D93395 </t>
  </si>
  <si>
    <t>MailPlus - Mount Waverley</t>
  </si>
  <si>
    <t xml:space="preserve">D93336 </t>
  </si>
  <si>
    <t>MailPlus - Mulgrave</t>
  </si>
  <si>
    <t xml:space="preserve">D93471 </t>
  </si>
  <si>
    <t>MailPlus - Murarrie</t>
  </si>
  <si>
    <t xml:space="preserve">D93472 </t>
  </si>
  <si>
    <t>MailPlus - Nerang</t>
  </si>
  <si>
    <t>DX 42501</t>
  </si>
  <si>
    <t>Ashmore</t>
  </si>
  <si>
    <t xml:space="preserve">D93367 </t>
  </si>
  <si>
    <t>MailPlus - Newcastle</t>
  </si>
  <si>
    <t>DX 7851</t>
  </si>
  <si>
    <t>Newcastle</t>
  </si>
  <si>
    <t>D93402</t>
  </si>
  <si>
    <t>MailPlus - North Ipswich</t>
  </si>
  <si>
    <t>DX 41209</t>
  </si>
  <si>
    <t xml:space="preserve">D93492 </t>
  </si>
  <si>
    <t>MailPlus - North Lakes</t>
  </si>
  <si>
    <t xml:space="preserve">Mohinda Yadav </t>
  </si>
  <si>
    <t>214/1 Bass Court</t>
  </si>
  <si>
    <t>North Lakes</t>
  </si>
  <si>
    <t>4509</t>
  </si>
  <si>
    <t xml:space="preserve">D93397 </t>
  </si>
  <si>
    <t>MailPlus - North Melbourne</t>
  </si>
  <si>
    <t>DX 452</t>
  </si>
  <si>
    <t xml:space="preserve">D93420 </t>
  </si>
  <si>
    <t>MailPlus - North Sydney</t>
  </si>
  <si>
    <t>DX 10506</t>
  </si>
  <si>
    <t>North Sydney</t>
  </si>
  <si>
    <t xml:space="preserve">D93486 </t>
  </si>
  <si>
    <t>MailPlus - Northern Beaches</t>
  </si>
  <si>
    <t>DX 29102</t>
  </si>
  <si>
    <t xml:space="preserve">D93494 </t>
  </si>
  <si>
    <t>MailPlus - Osborne Park</t>
  </si>
  <si>
    <t>188A Shaftesbury Ave</t>
  </si>
  <si>
    <t xml:space="preserve">Bedford </t>
  </si>
  <si>
    <t>6052</t>
  </si>
  <si>
    <t xml:space="preserve">D93371 </t>
  </si>
  <si>
    <t>MailPlus - Parramatta</t>
  </si>
  <si>
    <t xml:space="preserve">D93517 </t>
  </si>
  <si>
    <t>MailPlus - Peninsula</t>
  </si>
  <si>
    <t xml:space="preserve">D93369 </t>
  </si>
  <si>
    <t>MailPlus - Penrith</t>
  </si>
  <si>
    <t>DX 8002</t>
  </si>
  <si>
    <t>Penrith</t>
  </si>
  <si>
    <t xml:space="preserve">D93427 </t>
  </si>
  <si>
    <t>MailPlus - Perth CBD</t>
  </si>
  <si>
    <t>DX 247</t>
  </si>
  <si>
    <t>Perth</t>
  </si>
  <si>
    <t xml:space="preserve">D93337 </t>
  </si>
  <si>
    <t xml:space="preserve">MailPlus - Port Melbourne </t>
  </si>
  <si>
    <t>DX 31855</t>
  </si>
  <si>
    <t>Bay St - Port Melb</t>
  </si>
  <si>
    <t xml:space="preserve">D93408 </t>
  </si>
  <si>
    <t>MailPlus - Preston</t>
  </si>
  <si>
    <t>DX 97221</t>
  </si>
  <si>
    <t>Preston</t>
  </si>
  <si>
    <t xml:space="preserve">D93376 </t>
  </si>
  <si>
    <t>MailPlus - Pyrmont</t>
  </si>
  <si>
    <t>DX 161</t>
  </si>
  <si>
    <t>Sydney</t>
  </si>
  <si>
    <t xml:space="preserve">D93496 </t>
  </si>
  <si>
    <t>MailPlus - Regency</t>
  </si>
  <si>
    <t>DX 50601</t>
  </si>
  <si>
    <t>Port Adelaide</t>
  </si>
  <si>
    <t xml:space="preserve">D93422 </t>
  </si>
  <si>
    <t>MailPlus - Riverside</t>
  </si>
  <si>
    <t xml:space="preserve">D93497 </t>
  </si>
  <si>
    <t>MailPlus - Rockhampton</t>
  </si>
  <si>
    <t>DX 41160</t>
  </si>
  <si>
    <t>Rockhampton</t>
  </si>
  <si>
    <t xml:space="preserve">D93403 </t>
  </si>
  <si>
    <t>MailPlus - Rocklea</t>
  </si>
  <si>
    <t>Ross Smith</t>
  </si>
  <si>
    <t>Unit 6, 6 Grenier St</t>
  </si>
  <si>
    <t xml:space="preserve">D93498 </t>
  </si>
  <si>
    <t>MailPlus - Rosebery</t>
  </si>
  <si>
    <t>DX 912</t>
  </si>
  <si>
    <t xml:space="preserve">D93384 </t>
  </si>
  <si>
    <t>MailPlus - Rouse Hill</t>
  </si>
  <si>
    <t>Windsor</t>
  </si>
  <si>
    <t xml:space="preserve">D93499 </t>
  </si>
  <si>
    <t>MailPlus - Ryde</t>
  </si>
  <si>
    <t>DX 8403</t>
  </si>
  <si>
    <t>Ryde</t>
  </si>
  <si>
    <t xml:space="preserve">D93473 </t>
  </si>
  <si>
    <t>MailPlus - Salisbury</t>
  </si>
  <si>
    <t>James Ng</t>
  </si>
  <si>
    <t>1 Justora St</t>
  </si>
  <si>
    <t>Rochedale South</t>
  </si>
  <si>
    <t xml:space="preserve">D93404 </t>
  </si>
  <si>
    <t>MailPlus - Scoresby</t>
  </si>
  <si>
    <t>DX 15525</t>
  </si>
  <si>
    <t xml:space="preserve">D93334 </t>
  </si>
  <si>
    <t>MailPlus - Seaford</t>
  </si>
  <si>
    <t>DX 19935</t>
  </si>
  <si>
    <t>Frankston</t>
  </si>
  <si>
    <t xml:space="preserve">D93368 </t>
  </si>
  <si>
    <t>MailPlus - Seven Hills</t>
  </si>
  <si>
    <t>DX 8261</t>
  </si>
  <si>
    <t xml:space="preserve">D93416 </t>
  </si>
  <si>
    <t>MailPlus - Silverwater</t>
  </si>
  <si>
    <t xml:space="preserve">D93500 </t>
  </si>
  <si>
    <t>MailPlus - South Bank</t>
  </si>
  <si>
    <t>DX 299</t>
  </si>
  <si>
    <t xml:space="preserve">D93331 </t>
  </si>
  <si>
    <t>MailPlus - South Melbourne</t>
  </si>
  <si>
    <t xml:space="preserve">D93474 </t>
  </si>
  <si>
    <t>MailPlus - Spring Hill</t>
  </si>
  <si>
    <t>DX 410</t>
  </si>
  <si>
    <t xml:space="preserve">D93489 </t>
  </si>
  <si>
    <t>MailPlus - Springwood</t>
  </si>
  <si>
    <t xml:space="preserve">D93407 </t>
  </si>
  <si>
    <t>MailPlus - St Kilda Road</t>
  </si>
  <si>
    <t>DX 30524</t>
  </si>
  <si>
    <t>South Melbourne</t>
  </si>
  <si>
    <t xml:space="preserve">D93375 </t>
  </si>
  <si>
    <t>MailPlus - St Marys</t>
  </si>
  <si>
    <t>DX 29807</t>
  </si>
  <si>
    <t>St Marys</t>
  </si>
  <si>
    <t xml:space="preserve">D93475 </t>
  </si>
  <si>
    <t>MailPlus - Stafford</t>
  </si>
  <si>
    <t>DX 503</t>
  </si>
  <si>
    <t xml:space="preserve">D93425 </t>
  </si>
  <si>
    <t>MailPlus - Sunshine</t>
  </si>
  <si>
    <t>DX 30325</t>
  </si>
  <si>
    <t>Sunshine</t>
  </si>
  <si>
    <t xml:space="preserve">D93476 </t>
  </si>
  <si>
    <t>MailPlus - Sunshine Coast</t>
  </si>
  <si>
    <t>Maroochydore</t>
  </si>
  <si>
    <t xml:space="preserve">D93421 </t>
  </si>
  <si>
    <t>MailPlus - Surry Hills</t>
  </si>
  <si>
    <t>DX 11494</t>
  </si>
  <si>
    <t xml:space="preserve">D93377 </t>
  </si>
  <si>
    <t>MailPlus - Sydney - 2N3</t>
  </si>
  <si>
    <t>DX 907</t>
  </si>
  <si>
    <t xml:space="preserve">D93378 </t>
  </si>
  <si>
    <t xml:space="preserve">MailPlus - Sydney - North West </t>
  </si>
  <si>
    <t>DX 905</t>
  </si>
  <si>
    <t xml:space="preserve">D93379 </t>
  </si>
  <si>
    <t xml:space="preserve">MailPlus - Sydney - South East A </t>
  </si>
  <si>
    <t>DX 909</t>
  </si>
  <si>
    <t xml:space="preserve">D93380 </t>
  </si>
  <si>
    <t xml:space="preserve">MailPlus - Sydney - South East B </t>
  </si>
  <si>
    <t>DX 910</t>
  </si>
  <si>
    <t xml:space="preserve">D93501 </t>
  </si>
  <si>
    <t xml:space="preserve">MailPlus - Tappenden </t>
  </si>
  <si>
    <t xml:space="preserve">Alison Tappenden </t>
  </si>
  <si>
    <t xml:space="preserve">D93417 </t>
  </si>
  <si>
    <t>MailPlus - Taren Point</t>
  </si>
  <si>
    <t>DX 11008</t>
  </si>
  <si>
    <t>Caringbah</t>
  </si>
  <si>
    <t xml:space="preserve">D93477 </t>
  </si>
  <si>
    <t>MailPlus - Toowoomba</t>
  </si>
  <si>
    <t xml:space="preserve">Toowoomba </t>
  </si>
  <si>
    <t xml:space="preserve">D93502 </t>
  </si>
  <si>
    <t>MailPlus - Townsville</t>
  </si>
  <si>
    <t>DX 41406</t>
  </si>
  <si>
    <t>Townsville</t>
  </si>
  <si>
    <t xml:space="preserve">D93426 </t>
  </si>
  <si>
    <t>MailPlus - Trinh TRINH</t>
  </si>
  <si>
    <t>Quan Trinh</t>
  </si>
  <si>
    <t>76 Riverhills Rd</t>
  </si>
  <si>
    <t>Middle Park</t>
  </si>
  <si>
    <t xml:space="preserve">D93355 </t>
  </si>
  <si>
    <t>MailPlus - Waterloo</t>
  </si>
  <si>
    <t>DX 460</t>
  </si>
  <si>
    <t xml:space="preserve">D93432 </t>
  </si>
  <si>
    <t>MailPlus - Welshpool</t>
  </si>
  <si>
    <t>DX 70008</t>
  </si>
  <si>
    <t xml:space="preserve">D93429 </t>
  </si>
  <si>
    <t>MailPlus - West Perth</t>
  </si>
  <si>
    <t>DX 85</t>
  </si>
  <si>
    <t xml:space="preserve">D93503 </t>
  </si>
  <si>
    <t>MailPlus - Wetherill Park</t>
  </si>
  <si>
    <t xml:space="preserve">D93504 </t>
  </si>
  <si>
    <t>MailPlus - Willoughby</t>
  </si>
  <si>
    <t xml:space="preserve">D93386 </t>
  </si>
  <si>
    <t>MailPlus - Wyong</t>
  </si>
  <si>
    <t>DX 7308</t>
  </si>
  <si>
    <t>Wyong</t>
  </si>
  <si>
    <t xml:space="preserve">D93478 </t>
  </si>
  <si>
    <t>MailPlus - Yatala</t>
  </si>
  <si>
    <t>DX 41540</t>
  </si>
  <si>
    <t>224 Nottinghill Road</t>
  </si>
  <si>
    <t>2143</t>
  </si>
  <si>
    <t>Regents Park</t>
  </si>
  <si>
    <t>82 Dripston Rd</t>
  </si>
  <si>
    <t xml:space="preserve">Nakara </t>
  </si>
  <si>
    <t>0810</t>
  </si>
  <si>
    <t>13/113 Lillian Ave</t>
  </si>
  <si>
    <t>Salisbury</t>
  </si>
  <si>
    <t>4107</t>
  </si>
  <si>
    <t>3 Coral Court</t>
  </si>
  <si>
    <t>Glen Waverley</t>
  </si>
  <si>
    <t>3150</t>
  </si>
  <si>
    <t>DX 31854</t>
  </si>
  <si>
    <t>9 Karinya Place</t>
  </si>
  <si>
    <t xml:space="preserve">Wahroonga </t>
  </si>
  <si>
    <t>2076</t>
  </si>
  <si>
    <t>26 Lansdowne St</t>
  </si>
  <si>
    <t>Bardwell Valley</t>
  </si>
  <si>
    <t>2207</t>
  </si>
  <si>
    <t>Unit 1/ 180-182 Thorneside Road</t>
  </si>
  <si>
    <t>Thorneside</t>
  </si>
  <si>
    <t>4158</t>
  </si>
  <si>
    <t>500g Satchel</t>
  </si>
  <si>
    <t>TGES0809</t>
  </si>
  <si>
    <t xml:space="preserve">4 Corvette Close </t>
  </si>
  <si>
    <t>South Morang</t>
  </si>
  <si>
    <t xml:space="preserve">3752 </t>
  </si>
  <si>
    <t xml:space="preserve">3/16 Coojong Link </t>
  </si>
  <si>
    <t xml:space="preserve">Success </t>
  </si>
  <si>
    <t>6164</t>
  </si>
  <si>
    <t xml:space="preserve">Unit 5/307 New Street </t>
  </si>
  <si>
    <t>Brighton</t>
  </si>
  <si>
    <t>3186</t>
  </si>
  <si>
    <t>KA-06</t>
  </si>
  <si>
    <t>R1-06</t>
  </si>
  <si>
    <t>2I-06</t>
  </si>
  <si>
    <t>PA-06</t>
  </si>
  <si>
    <t>PB-06</t>
  </si>
  <si>
    <t>2148</t>
  </si>
  <si>
    <t>2500</t>
  </si>
  <si>
    <t>4006</t>
  </si>
  <si>
    <t>2170</t>
  </si>
  <si>
    <t>2150</t>
  </si>
  <si>
    <t>2066</t>
  </si>
  <si>
    <t>Mount Waverley</t>
  </si>
  <si>
    <t>3149</t>
  </si>
  <si>
    <t>2756</t>
  </si>
  <si>
    <t>3172</t>
  </si>
  <si>
    <t>Dingley Villiage</t>
  </si>
  <si>
    <t>Delivery Contact Name</t>
  </si>
  <si>
    <t>Delivery Contact Nmber</t>
  </si>
  <si>
    <t>DX 8106, Suite 8, 18  Cnr Third Avenue&amp; Prince Avenue</t>
  </si>
  <si>
    <t>DX 33406, 128 Centre Dandenong Road</t>
  </si>
  <si>
    <t>DX 27803, Suite 14 / 104 Crown St</t>
  </si>
  <si>
    <t>DX 40502, Unit 7, 421 Brunswick Street</t>
  </si>
  <si>
    <t>DX 5018, Suite 9, Level 1,  54 Moore Street</t>
  </si>
  <si>
    <t>DX 23312, Shop 8/ 79-83 Longueville Rd</t>
  </si>
  <si>
    <t>DX 32007, 262 Stephensons Rd</t>
  </si>
  <si>
    <t>DX 8241, Ground Floor, Suite 2, 20 Charles St</t>
  </si>
  <si>
    <t>DX 8610, 366 George St</t>
  </si>
  <si>
    <t>DX 28804, 4 /1 -23 Auburn Road</t>
  </si>
  <si>
    <t>Madhukar</t>
  </si>
  <si>
    <t>0414 787 641</t>
  </si>
  <si>
    <t xml:space="preserve">DX 25411, Suite 3, 1 204 Merrylands Road  </t>
  </si>
  <si>
    <t>DX 41065, 3, 173 Margaret Street</t>
  </si>
  <si>
    <t>Randy Fuller</t>
  </si>
  <si>
    <t>0416 615 403</t>
  </si>
  <si>
    <t>0400 456 445</t>
  </si>
  <si>
    <t>Sally Skomrlj</t>
  </si>
  <si>
    <t xml:space="preserve">DX 33404, 128 Centre Dandenong Road </t>
  </si>
  <si>
    <t>Paul Harrison</t>
  </si>
  <si>
    <t>DX 9970, Part of First Floor, 12 Century Circuit Avenue</t>
  </si>
  <si>
    <t>DX 41870, Shop 8 Ground Floor 9 Ocean Street</t>
  </si>
  <si>
    <t>Patrick Nelson</t>
  </si>
  <si>
    <t>Nick Rutten</t>
  </si>
  <si>
    <t>DX 401, 191 Pulteney St</t>
  </si>
  <si>
    <t>MailPlus - Head Office</t>
  </si>
  <si>
    <t>Raine Giderson</t>
  </si>
  <si>
    <t>1300 65 65 95</t>
  </si>
  <si>
    <t xml:space="preserve">Suite 51, Level 45, 680 George Street </t>
  </si>
  <si>
    <t>2000</t>
  </si>
  <si>
    <t>D90786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</si>
</sst>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3"/>
      <color rgb="FF262626"/>
      <name val="Helvetica"/>
      <family val="2"/>
    </font>
    <font>
      <sz val="13"/>
      <color rgb="FF333333"/>
      <name val="Helvetica"/>
      <family val="2"/>
    </font>
  </fonts>
  <fills count="7">
    <fill>
      <patternFill patternType="none"/>
    </fill>
    <fill>
      <patternFill patternType="gray125"/>
    </fill>
    <fill>
      <patternFill patternType="solid">
        <fgColor rgb="FF007A6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4" borderId="1" xfId="0" applyFill="1" applyBorder="1"/>
    <xf numFmtId="49" fontId="0" fillId="0" borderId="1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5" fillId="0" borderId="0" xfId="0" applyFont="1" applyAlignment="1">
      <alignment horizontal="right"/>
    </xf>
    <xf numFmtId="0" fontId="6" fillId="0" borderId="9" xfId="0" applyFont="1" applyBorder="1"/>
    <xf numFmtId="0" fontId="4" fillId="0" borderId="1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4" fillId="0" borderId="0" xfId="0" applyFont="1" applyBorder="1"/>
    <xf numFmtId="0" fontId="0" fillId="0" borderId="13" xfId="0" applyBorder="1"/>
    <xf numFmtId="0" fontId="1" fillId="2" borderId="12" xfId="0" applyFont="1" applyFill="1" applyBorder="1" applyAlignment="1">
      <alignment horizontal="center" vertical="center" wrapText="1"/>
    </xf>
    <xf numFmtId="0" fontId="4" fillId="0" borderId="12" xfId="0" applyFon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Fill="1" applyBorder="1"/>
    <xf numFmtId="0" fontId="0" fillId="0" borderId="19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6" fillId="0" borderId="12" xfId="0" applyFont="1" applyBorder="1"/>
    <xf numFmtId="0" fontId="7" fillId="6" borderId="5" xfId="0" applyFont="1" applyFill="1" applyBorder="1" applyAlignment="1">
      <alignment horizontal="center" vertical="center" wrapText="1"/>
    </xf>
    <xf numFmtId="0" fontId="8" fillId="6" borderId="7" xfId="0" applyFont="1" applyFill="1" applyBorder="1" applyAlignment="1">
      <alignment horizontal="center" vertical="center" wrapText="1"/>
    </xf>
    <xf numFmtId="0" fontId="8" fillId="6" borderId="20" xfId="0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left"/>
    </xf>
    <xf numFmtId="0" fontId="1" fillId="2" borderId="20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49" fontId="1" fillId="2" borderId="7" xfId="0" applyNumberFormat="1" applyFont="1" applyFill="1" applyBorder="1" applyAlignment="1">
      <alignment horizontal="center" vertical="center" wrapText="1"/>
    </xf>
    <xf numFmtId="49" fontId="1" fillId="2" borderId="20" xfId="0" applyNumberFormat="1" applyFont="1" applyFill="1" applyBorder="1" applyAlignment="1">
      <alignment horizontal="center" vertical="center" wrapText="1"/>
    </xf>
    <xf numFmtId="49" fontId="1" fillId="2" borderId="8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13" xfId="0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35"/>
  <sheetViews>
    <sheetView showGridLines="0" tabSelected="1" zoomScale="84" zoomScaleNormal="10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C135" sqref="C135"/>
    </sheetView>
  </sheetViews>
  <sheetFormatPr defaultColWidth="8.81640625" defaultRowHeight="14.5" x14ac:dyDescent="0.35"/>
  <cols>
    <col min="1" max="1" width="9.7265625" customWidth="1"/>
    <col min="2" max="2" width="12" style="2" customWidth="1"/>
    <col min="3" max="3" width="31.7265625" bestFit="1" customWidth="1"/>
    <col min="4" max="8" width="13.7265625" style="2" customWidth="1"/>
    <col min="9" max="9" width="11.453125" style="2" customWidth="1"/>
    <col min="10" max="10" width="16.26953125" style="2" customWidth="1"/>
    <col min="11" max="11" width="14.81640625" style="2" bestFit="1" customWidth="1"/>
    <col min="12" max="13" width="14.81640625" style="2" customWidth="1"/>
    <col min="14" max="14" width="56.81640625" style="6" bestFit="1" customWidth="1"/>
    <col min="15" max="15" width="14.81640625" style="6" customWidth="1"/>
    <col min="16" max="16" width="9.81640625" style="6" customWidth="1"/>
    <col min="17" max="17" width="9.1796875" style="10" bestFit="1" customWidth="1"/>
    <col min="18" max="18" width="14.81640625" customWidth="1"/>
    <col min="19" max="19" width="12.81640625" bestFit="1" customWidth="1"/>
    <col min="20" max="20" width="10.7265625" bestFit="1" customWidth="1"/>
  </cols>
  <sheetData>
    <row r="1" spans="1:33" ht="15" customHeight="1" thickBot="1" x14ac:dyDescent="0.4">
      <c r="A1" s="35" t="s">
        <v>0</v>
      </c>
      <c r="B1" s="35" t="s">
        <v>1</v>
      </c>
      <c r="C1" s="35" t="s">
        <v>2</v>
      </c>
      <c r="D1" s="37" t="s">
        <v>3</v>
      </c>
      <c r="E1" s="38"/>
      <c r="F1" s="38"/>
      <c r="G1" s="38"/>
      <c r="H1" s="39"/>
      <c r="I1" s="35" t="s">
        <v>4</v>
      </c>
      <c r="J1" s="37" t="s">
        <v>5</v>
      </c>
      <c r="K1" s="38"/>
      <c r="L1" s="38"/>
      <c r="M1" s="38"/>
      <c r="N1" s="38"/>
      <c r="O1" s="38"/>
      <c r="P1" s="38"/>
      <c r="Q1" s="39"/>
      <c r="R1" s="48" t="s">
        <v>6</v>
      </c>
    </row>
    <row r="2" spans="1:33" ht="18.5" x14ac:dyDescent="0.45">
      <c r="A2" s="35"/>
      <c r="B2" s="35"/>
      <c r="C2" s="35"/>
      <c r="D2" s="3" t="s">
        <v>7</v>
      </c>
      <c r="E2" s="3" t="s">
        <v>521</v>
      </c>
      <c r="F2" s="3" t="s">
        <v>8</v>
      </c>
      <c r="G2" s="3" t="s">
        <v>9</v>
      </c>
      <c r="H2" s="3" t="s">
        <v>10</v>
      </c>
      <c r="I2" s="35"/>
      <c r="J2" s="36" t="s">
        <v>11</v>
      </c>
      <c r="K2" s="36" t="s">
        <v>12</v>
      </c>
      <c r="L2" s="30"/>
      <c r="M2" s="30"/>
      <c r="N2" s="36" t="s">
        <v>13</v>
      </c>
      <c r="O2" s="36" t="s">
        <v>14</v>
      </c>
      <c r="P2" s="36" t="s">
        <v>15</v>
      </c>
      <c r="Q2" s="43" t="s">
        <v>16</v>
      </c>
      <c r="R2" s="48"/>
      <c r="T2" s="12" t="s">
        <v>17</v>
      </c>
      <c r="U2" s="13"/>
      <c r="V2" s="13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</row>
    <row r="3" spans="1:33" ht="29" x14ac:dyDescent="0.45">
      <c r="A3" s="35"/>
      <c r="B3" s="35"/>
      <c r="C3" s="35"/>
      <c r="D3" s="4" t="s">
        <v>18</v>
      </c>
      <c r="E3" s="4" t="s">
        <v>522</v>
      </c>
      <c r="F3" s="4" t="s">
        <v>19</v>
      </c>
      <c r="G3" s="4" t="s">
        <v>20</v>
      </c>
      <c r="H3" s="4" t="s">
        <v>21</v>
      </c>
      <c r="I3" s="36"/>
      <c r="J3" s="41"/>
      <c r="K3" s="41"/>
      <c r="L3" s="31" t="s">
        <v>548</v>
      </c>
      <c r="M3" s="31" t="s">
        <v>549</v>
      </c>
      <c r="N3" s="41"/>
      <c r="O3" s="41"/>
      <c r="P3" s="41"/>
      <c r="Q3" s="44"/>
      <c r="R3" s="48"/>
      <c r="T3" s="28"/>
      <c r="U3" s="18"/>
      <c r="V3" s="18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9"/>
    </row>
    <row r="4" spans="1:33" ht="16.5" customHeight="1" x14ac:dyDescent="0.35">
      <c r="A4" s="35"/>
      <c r="B4" s="35"/>
      <c r="C4" s="35"/>
      <c r="D4" s="29" t="s">
        <v>532</v>
      </c>
      <c r="E4" s="29" t="s">
        <v>533</v>
      </c>
      <c r="F4" s="29" t="s">
        <v>534</v>
      </c>
      <c r="G4" s="29" t="s">
        <v>535</v>
      </c>
      <c r="H4" s="29" t="s">
        <v>536</v>
      </c>
      <c r="I4" s="36"/>
      <c r="J4" s="42"/>
      <c r="K4" s="42"/>
      <c r="L4" s="32"/>
      <c r="M4" s="32"/>
      <c r="N4" s="42"/>
      <c r="O4" s="42"/>
      <c r="P4" s="42"/>
      <c r="Q4" s="45"/>
      <c r="R4" s="38"/>
      <c r="T4" s="16"/>
      <c r="U4" s="17"/>
      <c r="V4" s="17"/>
      <c r="W4" s="18"/>
      <c r="X4" s="17"/>
      <c r="Y4" s="17"/>
      <c r="Z4" s="17"/>
      <c r="AA4" s="17"/>
      <c r="AB4" s="17"/>
      <c r="AC4" s="17"/>
      <c r="AD4" s="17"/>
      <c r="AE4" s="17"/>
      <c r="AF4" s="17"/>
      <c r="AG4" s="19"/>
    </row>
    <row r="5" spans="1:33" x14ac:dyDescent="0.35">
      <c r="A5" s="1">
        <v>212</v>
      </c>
      <c r="B5" s="1" t="s">
        <v>22</v>
      </c>
      <c r="C5" s="25" t="s">
        <v>23</v>
      </c>
      <c r="D5" s="27"/>
      <c r="E5" s="27"/>
      <c r="F5" s="27"/>
      <c r="G5" s="27"/>
      <c r="H5" s="27"/>
      <c r="I5" s="27">
        <f t="shared" ref="I5" si="0">SUM(D5:H5)</f>
        <v>0</v>
      </c>
      <c r="J5" s="26" t="s">
        <v>24</v>
      </c>
      <c r="K5" s="5" t="s">
        <v>25</v>
      </c>
      <c r="L5" s="5"/>
      <c r="M5" s="5"/>
      <c r="N5" s="5" t="s">
        <v>26</v>
      </c>
      <c r="O5" s="5" t="s">
        <v>27</v>
      </c>
      <c r="P5" s="5" t="s">
        <v>28</v>
      </c>
      <c r="Q5" s="9">
        <v>4209</v>
      </c>
      <c r="R5" s="7"/>
      <c r="T5" s="20" t="s">
        <v>29</v>
      </c>
      <c r="U5" s="46" t="s">
        <v>30</v>
      </c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7"/>
    </row>
    <row r="6" spans="1:33" ht="16.5" x14ac:dyDescent="0.35">
      <c r="A6" s="1">
        <v>323364</v>
      </c>
      <c r="B6" s="1" t="s">
        <v>31</v>
      </c>
      <c r="C6" s="25" t="s">
        <v>32</v>
      </c>
      <c r="D6" s="27"/>
      <c r="E6" s="27"/>
      <c r="F6" s="27"/>
      <c r="G6" s="27"/>
      <c r="H6" s="27"/>
      <c r="I6" s="27">
        <f t="shared" ref="I6:I70" si="1">SUM(D6:H6)</f>
        <v>0</v>
      </c>
      <c r="J6" s="26" t="s">
        <v>33</v>
      </c>
      <c r="K6" s="5" t="s">
        <v>34</v>
      </c>
      <c r="L6" s="5" t="s">
        <v>573</v>
      </c>
      <c r="M6" s="33">
        <v>405165103</v>
      </c>
      <c r="N6" s="5" t="s">
        <v>574</v>
      </c>
      <c r="O6" s="5" t="s">
        <v>35</v>
      </c>
      <c r="P6" s="5" t="s">
        <v>36</v>
      </c>
      <c r="Q6" s="9"/>
      <c r="R6" s="7"/>
      <c r="T6" s="21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9"/>
    </row>
    <row r="7" spans="1:33" x14ac:dyDescent="0.35">
      <c r="A7" s="1">
        <v>214</v>
      </c>
      <c r="B7" s="1" t="s">
        <v>37</v>
      </c>
      <c r="C7" s="25" t="s">
        <v>38</v>
      </c>
      <c r="D7" s="27"/>
      <c r="E7" s="27"/>
      <c r="F7" s="27"/>
      <c r="G7" s="27"/>
      <c r="H7" s="27"/>
      <c r="I7" s="27">
        <f t="shared" si="1"/>
        <v>0</v>
      </c>
      <c r="J7" s="26" t="s">
        <v>24</v>
      </c>
      <c r="K7" s="5" t="s">
        <v>34</v>
      </c>
      <c r="L7" s="5"/>
      <c r="M7" s="5"/>
      <c r="N7" s="5" t="s">
        <v>39</v>
      </c>
      <c r="O7" s="5" t="s">
        <v>40</v>
      </c>
      <c r="P7" s="5" t="s">
        <v>41</v>
      </c>
      <c r="Q7" s="9">
        <v>3084</v>
      </c>
      <c r="R7" s="7"/>
      <c r="T7" s="20" t="s">
        <v>42</v>
      </c>
      <c r="U7" s="46" t="s">
        <v>43</v>
      </c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7"/>
    </row>
    <row r="8" spans="1:33" x14ac:dyDescent="0.35">
      <c r="A8" s="1">
        <v>480439</v>
      </c>
      <c r="B8" s="1" t="s">
        <v>44</v>
      </c>
      <c r="C8" s="25" t="s">
        <v>45</v>
      </c>
      <c r="D8" s="27"/>
      <c r="E8" s="27"/>
      <c r="F8" s="27"/>
      <c r="G8" s="27"/>
      <c r="H8" s="27"/>
      <c r="I8" s="27">
        <f t="shared" si="1"/>
        <v>0</v>
      </c>
      <c r="J8" s="26" t="s">
        <v>33</v>
      </c>
      <c r="K8" s="5" t="s">
        <v>34</v>
      </c>
      <c r="L8" s="5"/>
      <c r="M8" s="5"/>
      <c r="N8" s="5" t="s">
        <v>46</v>
      </c>
      <c r="O8" s="5" t="s">
        <v>47</v>
      </c>
      <c r="P8" s="5" t="s">
        <v>48</v>
      </c>
      <c r="Q8" s="9"/>
      <c r="R8" s="7"/>
      <c r="T8" s="16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9"/>
    </row>
    <row r="9" spans="1:33" x14ac:dyDescent="0.35">
      <c r="A9" s="1">
        <v>215</v>
      </c>
      <c r="B9" s="1" t="s">
        <v>49</v>
      </c>
      <c r="C9" s="25" t="s">
        <v>50</v>
      </c>
      <c r="D9" s="27"/>
      <c r="E9" s="27"/>
      <c r="F9" s="27"/>
      <c r="G9" s="27"/>
      <c r="H9" s="27"/>
      <c r="I9" s="27">
        <f t="shared" si="1"/>
        <v>0</v>
      </c>
      <c r="J9" s="26" t="s">
        <v>24</v>
      </c>
      <c r="K9" s="5" t="s">
        <v>34</v>
      </c>
      <c r="L9" s="5"/>
      <c r="M9" s="5"/>
      <c r="N9" s="5" t="s">
        <v>51</v>
      </c>
      <c r="O9" s="5" t="s">
        <v>52</v>
      </c>
      <c r="P9" s="5" t="s">
        <v>48</v>
      </c>
      <c r="Q9" s="9">
        <v>2228</v>
      </c>
      <c r="R9" s="7"/>
      <c r="T9" s="20" t="s">
        <v>53</v>
      </c>
      <c r="U9" s="46" t="s">
        <v>54</v>
      </c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7"/>
    </row>
    <row r="10" spans="1:33" x14ac:dyDescent="0.35">
      <c r="A10" s="1">
        <v>216</v>
      </c>
      <c r="B10" s="1" t="s">
        <v>55</v>
      </c>
      <c r="C10" s="25" t="s">
        <v>56</v>
      </c>
      <c r="D10" s="27"/>
      <c r="E10" s="27"/>
      <c r="F10" s="27"/>
      <c r="G10" s="27"/>
      <c r="H10" s="27"/>
      <c r="I10" s="27">
        <f t="shared" si="1"/>
        <v>0</v>
      </c>
      <c r="J10" s="26" t="s">
        <v>33</v>
      </c>
      <c r="K10" s="5" t="s">
        <v>34</v>
      </c>
      <c r="L10" s="5"/>
      <c r="M10" s="5"/>
      <c r="N10" s="5" t="s">
        <v>57</v>
      </c>
      <c r="O10" s="5" t="s">
        <v>58</v>
      </c>
      <c r="P10" s="5" t="s">
        <v>41</v>
      </c>
      <c r="Q10" s="9"/>
      <c r="R10" s="7"/>
      <c r="T10" s="16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9"/>
    </row>
    <row r="11" spans="1:33" x14ac:dyDescent="0.35">
      <c r="A11" s="1">
        <v>5386</v>
      </c>
      <c r="B11" s="1" t="s">
        <v>59</v>
      </c>
      <c r="C11" s="25" t="s">
        <v>60</v>
      </c>
      <c r="D11" s="27"/>
      <c r="E11" s="27"/>
      <c r="F11" s="27"/>
      <c r="G11" s="27"/>
      <c r="H11" s="27"/>
      <c r="I11" s="27">
        <f t="shared" si="1"/>
        <v>0</v>
      </c>
      <c r="J11" s="26" t="s">
        <v>24</v>
      </c>
      <c r="K11" s="5" t="s">
        <v>34</v>
      </c>
      <c r="L11" s="5"/>
      <c r="M11" s="5"/>
      <c r="N11" s="5" t="s">
        <v>515</v>
      </c>
      <c r="O11" s="5" t="s">
        <v>516</v>
      </c>
      <c r="P11" s="5" t="s">
        <v>48</v>
      </c>
      <c r="Q11" s="9" t="s">
        <v>517</v>
      </c>
      <c r="R11" s="7"/>
      <c r="T11" s="20" t="s">
        <v>61</v>
      </c>
      <c r="U11" s="46" t="s">
        <v>62</v>
      </c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7"/>
    </row>
    <row r="12" spans="1:33" ht="15" thickBot="1" x14ac:dyDescent="0.4">
      <c r="A12" s="1">
        <v>64113</v>
      </c>
      <c r="B12" s="1" t="s">
        <v>63</v>
      </c>
      <c r="C12" s="25" t="s">
        <v>64</v>
      </c>
      <c r="D12" s="27"/>
      <c r="E12" s="27"/>
      <c r="F12" s="27"/>
      <c r="G12" s="27"/>
      <c r="H12" s="27"/>
      <c r="I12" s="27">
        <f t="shared" si="1"/>
        <v>0</v>
      </c>
      <c r="J12" s="26" t="s">
        <v>24</v>
      </c>
      <c r="K12" s="5" t="s">
        <v>65</v>
      </c>
      <c r="L12" s="5"/>
      <c r="M12" s="5"/>
      <c r="N12" s="5" t="s">
        <v>66</v>
      </c>
      <c r="O12" s="5" t="s">
        <v>67</v>
      </c>
      <c r="P12" s="5" t="s">
        <v>28</v>
      </c>
      <c r="Q12" s="9" t="s">
        <v>68</v>
      </c>
      <c r="R12" s="7"/>
      <c r="T12" s="22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4"/>
    </row>
    <row r="13" spans="1:33" x14ac:dyDescent="0.35">
      <c r="A13" s="1">
        <v>249910</v>
      </c>
      <c r="B13" s="1" t="s">
        <v>69</v>
      </c>
      <c r="C13" s="25" t="s">
        <v>70</v>
      </c>
      <c r="D13" s="27"/>
      <c r="E13" s="27"/>
      <c r="F13" s="27"/>
      <c r="G13" s="27"/>
      <c r="H13" s="27"/>
      <c r="I13" s="27">
        <f t="shared" si="1"/>
        <v>0</v>
      </c>
      <c r="J13" s="26" t="s">
        <v>33</v>
      </c>
      <c r="K13" s="5" t="s">
        <v>34</v>
      </c>
      <c r="L13" s="5"/>
      <c r="M13" s="5"/>
      <c r="N13" s="5" t="s">
        <v>71</v>
      </c>
      <c r="O13" s="5" t="s">
        <v>72</v>
      </c>
      <c r="P13" s="5" t="s">
        <v>73</v>
      </c>
      <c r="Q13" s="9"/>
      <c r="R13" s="7"/>
    </row>
    <row r="14" spans="1:33" ht="16.5" x14ac:dyDescent="0.35">
      <c r="A14" s="1">
        <v>143</v>
      </c>
      <c r="B14" s="1" t="s">
        <v>74</v>
      </c>
      <c r="C14" s="25" t="s">
        <v>75</v>
      </c>
      <c r="D14" s="27"/>
      <c r="E14" s="27"/>
      <c r="F14" s="27"/>
      <c r="G14" s="27"/>
      <c r="H14" s="27"/>
      <c r="I14" s="27">
        <f t="shared" si="1"/>
        <v>0</v>
      </c>
      <c r="J14" s="26" t="s">
        <v>33</v>
      </c>
      <c r="K14" s="5" t="s">
        <v>34</v>
      </c>
      <c r="L14" s="5" t="s">
        <v>569</v>
      </c>
      <c r="M14" s="33">
        <v>413691109</v>
      </c>
      <c r="N14" s="5" t="s">
        <v>570</v>
      </c>
      <c r="O14" s="5" t="s">
        <v>76</v>
      </c>
      <c r="P14" s="5" t="s">
        <v>48</v>
      </c>
      <c r="Q14" s="9"/>
      <c r="R14" s="7"/>
      <c r="T14" s="11" t="s">
        <v>77</v>
      </c>
      <c r="U14" s="40" t="e">
        <f ca="1">LastModified()</f>
        <v>#NAME?</v>
      </c>
      <c r="V14" s="40"/>
    </row>
    <row r="15" spans="1:33" x14ac:dyDescent="0.35">
      <c r="A15" s="1">
        <v>404282</v>
      </c>
      <c r="B15" s="1" t="s">
        <v>78</v>
      </c>
      <c r="C15" s="25" t="s">
        <v>79</v>
      </c>
      <c r="D15" s="27"/>
      <c r="E15" s="27"/>
      <c r="F15" s="27"/>
      <c r="G15" s="27"/>
      <c r="H15" s="27"/>
      <c r="I15" s="27">
        <f t="shared" si="1"/>
        <v>0</v>
      </c>
      <c r="J15" s="26" t="s">
        <v>33</v>
      </c>
      <c r="K15" s="5" t="s">
        <v>34</v>
      </c>
      <c r="L15" s="5"/>
      <c r="M15" s="5"/>
      <c r="N15" s="5" t="s">
        <v>80</v>
      </c>
      <c r="O15" s="5" t="s">
        <v>81</v>
      </c>
      <c r="P15" s="5" t="s">
        <v>41</v>
      </c>
      <c r="Q15" s="9"/>
      <c r="R15" s="7"/>
    </row>
    <row r="16" spans="1:33" x14ac:dyDescent="0.35">
      <c r="A16" s="1">
        <v>293029</v>
      </c>
      <c r="B16" s="1" t="s">
        <v>82</v>
      </c>
      <c r="C16" s="25" t="s">
        <v>83</v>
      </c>
      <c r="D16" s="27"/>
      <c r="E16" s="27"/>
      <c r="F16" s="27"/>
      <c r="G16" s="27"/>
      <c r="H16" s="27"/>
      <c r="I16" s="27">
        <f t="shared" si="1"/>
        <v>0</v>
      </c>
      <c r="J16" s="26" t="s">
        <v>33</v>
      </c>
      <c r="K16" s="5" t="s">
        <v>34</v>
      </c>
      <c r="L16" s="5"/>
      <c r="M16" s="5"/>
      <c r="N16" s="5" t="s">
        <v>84</v>
      </c>
      <c r="O16" s="5" t="s">
        <v>72</v>
      </c>
      <c r="P16" s="5" t="s">
        <v>73</v>
      </c>
      <c r="Q16" s="9"/>
      <c r="R16" s="7"/>
    </row>
    <row r="17" spans="1:18" x14ac:dyDescent="0.35">
      <c r="A17" s="1">
        <v>452187</v>
      </c>
      <c r="B17" s="1" t="s">
        <v>85</v>
      </c>
      <c r="C17" s="25" t="s">
        <v>86</v>
      </c>
      <c r="D17" s="27"/>
      <c r="E17" s="27"/>
      <c r="F17" s="27"/>
      <c r="G17" s="27"/>
      <c r="H17" s="27"/>
      <c r="I17" s="27">
        <f t="shared" si="1"/>
        <v>0</v>
      </c>
      <c r="J17" s="26" t="s">
        <v>33</v>
      </c>
      <c r="K17" s="5" t="s">
        <v>34</v>
      </c>
      <c r="L17" s="5"/>
      <c r="M17" s="5"/>
      <c r="N17" s="5" t="s">
        <v>87</v>
      </c>
      <c r="O17" s="5" t="s">
        <v>88</v>
      </c>
      <c r="P17" s="5" t="s">
        <v>89</v>
      </c>
      <c r="Q17" s="9"/>
      <c r="R17" s="7"/>
    </row>
    <row r="18" spans="1:18" x14ac:dyDescent="0.35">
      <c r="A18" s="1">
        <v>218</v>
      </c>
      <c r="B18" s="1" t="s">
        <v>90</v>
      </c>
      <c r="C18" s="25" t="s">
        <v>91</v>
      </c>
      <c r="D18" s="27"/>
      <c r="E18" s="27"/>
      <c r="F18" s="27"/>
      <c r="G18" s="27"/>
      <c r="H18" s="27"/>
      <c r="I18" s="27">
        <f t="shared" si="1"/>
        <v>0</v>
      </c>
      <c r="J18" s="26" t="s">
        <v>33</v>
      </c>
      <c r="K18" s="5" t="s">
        <v>34</v>
      </c>
      <c r="L18" s="5"/>
      <c r="M18" s="5"/>
      <c r="N18" s="5" t="s">
        <v>550</v>
      </c>
      <c r="O18" s="5" t="s">
        <v>92</v>
      </c>
      <c r="P18" s="5" t="s">
        <v>48</v>
      </c>
      <c r="Q18" s="9" t="s">
        <v>537</v>
      </c>
      <c r="R18" s="7"/>
    </row>
    <row r="19" spans="1:18" x14ac:dyDescent="0.35">
      <c r="A19" s="1">
        <v>219</v>
      </c>
      <c r="B19" s="1" t="s">
        <v>93</v>
      </c>
      <c r="C19" s="25" t="s">
        <v>94</v>
      </c>
      <c r="D19" s="27"/>
      <c r="E19" s="27"/>
      <c r="F19" s="27"/>
      <c r="G19" s="27"/>
      <c r="H19" s="27"/>
      <c r="I19" s="27">
        <f t="shared" si="1"/>
        <v>0</v>
      </c>
      <c r="J19" s="26" t="s">
        <v>33</v>
      </c>
      <c r="K19" s="5" t="s">
        <v>34</v>
      </c>
      <c r="L19" s="5"/>
      <c r="M19" s="5"/>
      <c r="N19" s="5" t="s">
        <v>95</v>
      </c>
      <c r="O19" s="5" t="s">
        <v>96</v>
      </c>
      <c r="P19" s="5" t="s">
        <v>48</v>
      </c>
      <c r="Q19" s="9"/>
      <c r="R19" s="7"/>
    </row>
    <row r="20" spans="1:18" x14ac:dyDescent="0.35">
      <c r="A20" s="1">
        <v>453361</v>
      </c>
      <c r="B20" s="1" t="s">
        <v>97</v>
      </c>
      <c r="C20" s="25" t="s">
        <v>98</v>
      </c>
      <c r="D20" s="27"/>
      <c r="E20" s="27"/>
      <c r="F20" s="27"/>
      <c r="G20" s="27"/>
      <c r="H20" s="27"/>
      <c r="I20" s="27">
        <f t="shared" si="1"/>
        <v>0</v>
      </c>
      <c r="J20" s="26" t="s">
        <v>33</v>
      </c>
      <c r="K20" s="5" t="s">
        <v>34</v>
      </c>
      <c r="L20" s="5"/>
      <c r="M20" s="5"/>
      <c r="N20" s="5" t="s">
        <v>99</v>
      </c>
      <c r="O20" s="5" t="s">
        <v>100</v>
      </c>
      <c r="P20" s="5" t="s">
        <v>28</v>
      </c>
      <c r="Q20" s="9"/>
      <c r="R20" s="7"/>
    </row>
    <row r="21" spans="1:18" x14ac:dyDescent="0.35">
      <c r="A21" s="1">
        <v>280</v>
      </c>
      <c r="B21" s="1" t="s">
        <v>101</v>
      </c>
      <c r="C21" s="25" t="s">
        <v>102</v>
      </c>
      <c r="D21" s="27"/>
      <c r="E21" s="27"/>
      <c r="F21" s="27"/>
      <c r="G21" s="27"/>
      <c r="H21" s="27"/>
      <c r="I21" s="27">
        <f t="shared" si="1"/>
        <v>0</v>
      </c>
      <c r="J21" s="26" t="s">
        <v>24</v>
      </c>
      <c r="K21" s="5" t="s">
        <v>103</v>
      </c>
      <c r="L21" s="5"/>
      <c r="M21" s="5"/>
      <c r="N21" s="5" t="s">
        <v>104</v>
      </c>
      <c r="O21" s="5" t="s">
        <v>105</v>
      </c>
      <c r="P21" s="5" t="s">
        <v>48</v>
      </c>
      <c r="Q21" s="9">
        <v>2232</v>
      </c>
      <c r="R21" s="7"/>
    </row>
    <row r="22" spans="1:18" x14ac:dyDescent="0.35">
      <c r="A22" s="1">
        <v>575095</v>
      </c>
      <c r="B22" s="1" t="s">
        <v>106</v>
      </c>
      <c r="C22" s="25" t="s">
        <v>107</v>
      </c>
      <c r="D22" s="27"/>
      <c r="E22" s="27"/>
      <c r="F22" s="27"/>
      <c r="G22" s="27"/>
      <c r="H22" s="27"/>
      <c r="I22" s="27">
        <f t="shared" si="1"/>
        <v>0</v>
      </c>
      <c r="J22" s="26" t="s">
        <v>33</v>
      </c>
      <c r="K22" s="5" t="s">
        <v>34</v>
      </c>
      <c r="L22" s="5"/>
      <c r="M22" s="5"/>
      <c r="N22" s="5" t="s">
        <v>108</v>
      </c>
      <c r="O22" s="5" t="s">
        <v>109</v>
      </c>
      <c r="P22" s="5" t="s">
        <v>28</v>
      </c>
      <c r="Q22" s="9"/>
      <c r="R22" s="7"/>
    </row>
    <row r="23" spans="1:18" x14ac:dyDescent="0.35">
      <c r="A23" s="1">
        <v>174014</v>
      </c>
      <c r="B23" s="1" t="s">
        <v>110</v>
      </c>
      <c r="C23" s="25" t="s">
        <v>111</v>
      </c>
      <c r="D23" s="27"/>
      <c r="E23" s="27"/>
      <c r="F23" s="27"/>
      <c r="G23" s="27"/>
      <c r="H23" s="27"/>
      <c r="I23" s="27">
        <f t="shared" si="1"/>
        <v>0</v>
      </c>
      <c r="J23" s="26" t="s">
        <v>33</v>
      </c>
      <c r="K23" s="5" t="s">
        <v>34</v>
      </c>
      <c r="L23" s="5"/>
      <c r="M23" s="5"/>
      <c r="N23" s="5" t="s">
        <v>112</v>
      </c>
      <c r="O23" s="5" t="s">
        <v>113</v>
      </c>
      <c r="P23" s="5" t="s">
        <v>41</v>
      </c>
      <c r="Q23" s="9"/>
      <c r="R23" s="7"/>
    </row>
    <row r="24" spans="1:18" ht="16.5" x14ac:dyDescent="0.35">
      <c r="A24" s="1">
        <v>220</v>
      </c>
      <c r="B24" s="1" t="s">
        <v>114</v>
      </c>
      <c r="C24" s="25" t="s">
        <v>115</v>
      </c>
      <c r="D24" s="27"/>
      <c r="E24" s="27"/>
      <c r="F24" s="27"/>
      <c r="G24" s="27"/>
      <c r="H24" s="27"/>
      <c r="I24" s="27">
        <f t="shared" si="1"/>
        <v>0</v>
      </c>
      <c r="J24" s="26" t="s">
        <v>33</v>
      </c>
      <c r="K24" s="5" t="s">
        <v>34</v>
      </c>
      <c r="L24" s="5" t="s">
        <v>567</v>
      </c>
      <c r="M24" s="33" t="s">
        <v>566</v>
      </c>
      <c r="N24" s="5" t="s">
        <v>568</v>
      </c>
      <c r="O24" s="5" t="s">
        <v>116</v>
      </c>
      <c r="P24" s="5" t="s">
        <v>41</v>
      </c>
      <c r="Q24" s="9"/>
      <c r="R24" s="7"/>
    </row>
    <row r="25" spans="1:18" x14ac:dyDescent="0.35">
      <c r="A25" s="1">
        <v>511931</v>
      </c>
      <c r="B25" s="1" t="s">
        <v>117</v>
      </c>
      <c r="C25" s="25" t="s">
        <v>118</v>
      </c>
      <c r="D25" s="27"/>
      <c r="E25" s="27"/>
      <c r="F25" s="27"/>
      <c r="G25" s="27"/>
      <c r="H25" s="27"/>
      <c r="I25" s="27">
        <f t="shared" si="1"/>
        <v>0</v>
      </c>
      <c r="J25" s="26" t="s">
        <v>24</v>
      </c>
      <c r="K25" s="5" t="s">
        <v>119</v>
      </c>
      <c r="L25" s="5"/>
      <c r="M25" s="5"/>
      <c r="N25" s="5" t="s">
        <v>120</v>
      </c>
      <c r="O25" s="5" t="s">
        <v>121</v>
      </c>
      <c r="P25" s="5" t="s">
        <v>28</v>
      </c>
      <c r="Q25" s="9">
        <v>4035</v>
      </c>
      <c r="R25" s="7"/>
    </row>
    <row r="26" spans="1:18" x14ac:dyDescent="0.35">
      <c r="A26" s="1">
        <v>356026</v>
      </c>
      <c r="B26" s="1" t="s">
        <v>122</v>
      </c>
      <c r="C26" s="25" t="s">
        <v>123</v>
      </c>
      <c r="D26" s="27"/>
      <c r="E26" s="27"/>
      <c r="F26" s="27"/>
      <c r="G26" s="27"/>
      <c r="H26" s="27"/>
      <c r="I26" s="27">
        <f t="shared" si="1"/>
        <v>0</v>
      </c>
      <c r="J26" s="26" t="s">
        <v>33</v>
      </c>
      <c r="K26" s="5" t="s">
        <v>34</v>
      </c>
      <c r="L26" s="5"/>
      <c r="M26" s="5"/>
      <c r="N26" s="5" t="s">
        <v>124</v>
      </c>
      <c r="O26" s="5" t="s">
        <v>125</v>
      </c>
      <c r="P26" s="5" t="s">
        <v>28</v>
      </c>
      <c r="Q26" s="9"/>
      <c r="R26" s="7"/>
    </row>
    <row r="27" spans="1:18" x14ac:dyDescent="0.35">
      <c r="A27" s="1">
        <v>79984</v>
      </c>
      <c r="B27" s="1" t="s">
        <v>126</v>
      </c>
      <c r="C27" s="25" t="s">
        <v>127</v>
      </c>
      <c r="D27" s="27"/>
      <c r="E27" s="27"/>
      <c r="F27" s="27"/>
      <c r="G27" s="27"/>
      <c r="H27" s="27"/>
      <c r="I27" s="27">
        <f t="shared" si="1"/>
        <v>0</v>
      </c>
      <c r="J27" s="26" t="s">
        <v>24</v>
      </c>
      <c r="K27" s="5" t="s">
        <v>128</v>
      </c>
      <c r="L27" s="5"/>
      <c r="M27" s="5"/>
      <c r="N27" s="5" t="s">
        <v>129</v>
      </c>
      <c r="O27" s="5" t="s">
        <v>130</v>
      </c>
      <c r="P27" s="5" t="s">
        <v>28</v>
      </c>
      <c r="Q27" s="9">
        <v>4034</v>
      </c>
      <c r="R27" s="7"/>
    </row>
    <row r="28" spans="1:18" x14ac:dyDescent="0.35">
      <c r="A28" s="1">
        <v>322523</v>
      </c>
      <c r="B28" s="1" t="s">
        <v>131</v>
      </c>
      <c r="C28" s="25" t="s">
        <v>132</v>
      </c>
      <c r="D28" s="27"/>
      <c r="E28" s="27"/>
      <c r="F28" s="27"/>
      <c r="G28" s="27"/>
      <c r="H28" s="27"/>
      <c r="I28" s="27">
        <f t="shared" si="1"/>
        <v>0</v>
      </c>
      <c r="J28" s="26" t="s">
        <v>33</v>
      </c>
      <c r="K28" s="5" t="s">
        <v>34</v>
      </c>
      <c r="L28" s="5"/>
      <c r="M28" s="5"/>
      <c r="N28" s="5" t="s">
        <v>133</v>
      </c>
      <c r="O28" s="5" t="s">
        <v>134</v>
      </c>
      <c r="P28" s="5" t="s">
        <v>48</v>
      </c>
      <c r="Q28" s="9"/>
      <c r="R28" s="7"/>
    </row>
    <row r="29" spans="1:18" x14ac:dyDescent="0.35">
      <c r="A29" s="1">
        <v>206118</v>
      </c>
      <c r="B29" s="1" t="s">
        <v>135</v>
      </c>
      <c r="C29" s="25" t="s">
        <v>136</v>
      </c>
      <c r="D29" s="27"/>
      <c r="E29" s="27"/>
      <c r="F29" s="27"/>
      <c r="G29" s="27"/>
      <c r="H29" s="27"/>
      <c r="I29" s="27">
        <f t="shared" si="1"/>
        <v>0</v>
      </c>
      <c r="J29" s="26" t="s">
        <v>24</v>
      </c>
      <c r="K29" s="5" t="s">
        <v>137</v>
      </c>
      <c r="L29" s="5"/>
      <c r="M29" s="5"/>
      <c r="N29" s="5" t="s">
        <v>138</v>
      </c>
      <c r="O29" s="5" t="s">
        <v>139</v>
      </c>
      <c r="P29" s="5" t="s">
        <v>28</v>
      </c>
      <c r="Q29" s="9">
        <v>4152</v>
      </c>
      <c r="R29" s="7"/>
    </row>
    <row r="30" spans="1:18" x14ac:dyDescent="0.35">
      <c r="A30" s="1">
        <v>219412</v>
      </c>
      <c r="B30" s="1" t="s">
        <v>140</v>
      </c>
      <c r="C30" s="25" t="s">
        <v>141</v>
      </c>
      <c r="D30" s="27"/>
      <c r="E30" s="27"/>
      <c r="F30" s="27"/>
      <c r="G30" s="27"/>
      <c r="H30" s="27"/>
      <c r="I30" s="27">
        <f t="shared" si="1"/>
        <v>0</v>
      </c>
      <c r="J30" s="26" t="s">
        <v>33</v>
      </c>
      <c r="K30" s="5" t="s">
        <v>34</v>
      </c>
      <c r="L30" s="5"/>
      <c r="M30" s="5"/>
      <c r="N30" s="5" t="s">
        <v>142</v>
      </c>
      <c r="O30" s="5" t="s">
        <v>143</v>
      </c>
      <c r="P30" s="5" t="s">
        <v>28</v>
      </c>
      <c r="Q30" s="9"/>
      <c r="R30" s="7"/>
    </row>
    <row r="31" spans="1:18" x14ac:dyDescent="0.35">
      <c r="A31" s="1">
        <v>362185</v>
      </c>
      <c r="B31" s="1" t="s">
        <v>144</v>
      </c>
      <c r="C31" s="25" t="s">
        <v>145</v>
      </c>
      <c r="D31" s="27"/>
      <c r="E31" s="27"/>
      <c r="F31" s="27"/>
      <c r="G31" s="27"/>
      <c r="H31" s="27"/>
      <c r="I31" s="27">
        <f t="shared" si="1"/>
        <v>0</v>
      </c>
      <c r="J31" s="26" t="s">
        <v>33</v>
      </c>
      <c r="K31" s="5" t="s">
        <v>34</v>
      </c>
      <c r="L31" s="5"/>
      <c r="M31" s="5"/>
      <c r="N31" s="5" t="s">
        <v>146</v>
      </c>
      <c r="O31" s="5" t="s">
        <v>147</v>
      </c>
      <c r="P31" s="5" t="s">
        <v>48</v>
      </c>
      <c r="Q31" s="9"/>
      <c r="R31" s="7"/>
    </row>
    <row r="32" spans="1:18" x14ac:dyDescent="0.35">
      <c r="A32" s="1">
        <v>404079</v>
      </c>
      <c r="B32" s="1" t="s">
        <v>148</v>
      </c>
      <c r="C32" s="25" t="s">
        <v>149</v>
      </c>
      <c r="D32" s="27"/>
      <c r="E32" s="27"/>
      <c r="F32" s="27"/>
      <c r="G32" s="27"/>
      <c r="H32" s="27"/>
      <c r="I32" s="27">
        <f t="shared" si="1"/>
        <v>0</v>
      </c>
      <c r="J32" s="26" t="s">
        <v>33</v>
      </c>
      <c r="K32" s="5" t="s">
        <v>34</v>
      </c>
      <c r="L32" s="5"/>
      <c r="M32" s="5"/>
      <c r="N32" s="5" t="s">
        <v>150</v>
      </c>
      <c r="O32" s="5" t="s">
        <v>151</v>
      </c>
      <c r="P32" s="5" t="s">
        <v>28</v>
      </c>
      <c r="Q32" s="9"/>
      <c r="R32" s="7"/>
    </row>
    <row r="33" spans="1:18" x14ac:dyDescent="0.35">
      <c r="A33" s="1">
        <v>574991</v>
      </c>
      <c r="B33" s="1" t="s">
        <v>152</v>
      </c>
      <c r="C33" s="25" t="s">
        <v>153</v>
      </c>
      <c r="D33" s="27"/>
      <c r="E33" s="27"/>
      <c r="F33" s="27"/>
      <c r="G33" s="27"/>
      <c r="H33" s="27"/>
      <c r="I33" s="27">
        <f t="shared" si="1"/>
        <v>0</v>
      </c>
      <c r="J33" s="26" t="s">
        <v>24</v>
      </c>
      <c r="K33" s="5" t="s">
        <v>34</v>
      </c>
      <c r="L33" s="5"/>
      <c r="M33" s="5"/>
      <c r="N33" s="5" t="s">
        <v>154</v>
      </c>
      <c r="O33" s="5" t="s">
        <v>155</v>
      </c>
      <c r="P33" s="5" t="s">
        <v>41</v>
      </c>
      <c r="Q33" s="9">
        <v>3012</v>
      </c>
      <c r="R33" s="7"/>
    </row>
    <row r="34" spans="1:18" x14ac:dyDescent="0.35">
      <c r="A34" s="1">
        <v>225</v>
      </c>
      <c r="B34" s="1" t="s">
        <v>156</v>
      </c>
      <c r="C34" s="25" t="s">
        <v>157</v>
      </c>
      <c r="D34" s="27"/>
      <c r="E34" s="27"/>
      <c r="F34" s="27"/>
      <c r="G34" s="27"/>
      <c r="H34" s="27"/>
      <c r="I34" s="27">
        <f t="shared" si="1"/>
        <v>0</v>
      </c>
      <c r="J34" s="26" t="s">
        <v>33</v>
      </c>
      <c r="K34" s="5" t="s">
        <v>34</v>
      </c>
      <c r="L34" s="5"/>
      <c r="M34" s="5"/>
      <c r="N34" s="5" t="s">
        <v>158</v>
      </c>
      <c r="O34" s="5" t="s">
        <v>159</v>
      </c>
      <c r="P34" s="5" t="s">
        <v>48</v>
      </c>
      <c r="Q34" s="9"/>
      <c r="R34" s="7"/>
    </row>
    <row r="35" spans="1:18" x14ac:dyDescent="0.35">
      <c r="A35" s="1">
        <v>462808</v>
      </c>
      <c r="B35" s="1" t="s">
        <v>160</v>
      </c>
      <c r="C35" s="25" t="s">
        <v>161</v>
      </c>
      <c r="D35" s="27"/>
      <c r="E35" s="27"/>
      <c r="F35" s="27"/>
      <c r="G35" s="27"/>
      <c r="H35" s="27"/>
      <c r="I35" s="27">
        <f t="shared" si="1"/>
        <v>0</v>
      </c>
      <c r="J35" s="26" t="s">
        <v>33</v>
      </c>
      <c r="K35" s="5" t="s">
        <v>34</v>
      </c>
      <c r="L35" s="5"/>
      <c r="M35" s="5"/>
      <c r="N35" s="5" t="s">
        <v>162</v>
      </c>
      <c r="O35" s="5" t="s">
        <v>72</v>
      </c>
      <c r="P35" s="5" t="s">
        <v>73</v>
      </c>
      <c r="Q35" s="9"/>
      <c r="R35" s="7"/>
    </row>
    <row r="36" spans="1:18" x14ac:dyDescent="0.35">
      <c r="A36" s="1">
        <v>216886</v>
      </c>
      <c r="B36" s="1" t="s">
        <v>163</v>
      </c>
      <c r="C36" s="25" t="s">
        <v>164</v>
      </c>
      <c r="D36" s="27"/>
      <c r="E36" s="27"/>
      <c r="F36" s="27"/>
      <c r="G36" s="27"/>
      <c r="H36" s="27"/>
      <c r="I36" s="27">
        <f t="shared" si="1"/>
        <v>0</v>
      </c>
      <c r="J36" s="26" t="s">
        <v>33</v>
      </c>
      <c r="K36" s="5" t="s">
        <v>34</v>
      </c>
      <c r="L36" s="5"/>
      <c r="M36" s="5"/>
      <c r="N36" s="5" t="s">
        <v>165</v>
      </c>
      <c r="O36" s="5" t="s">
        <v>72</v>
      </c>
      <c r="P36" s="5" t="s">
        <v>73</v>
      </c>
      <c r="Q36" s="9"/>
      <c r="R36" s="7"/>
    </row>
    <row r="37" spans="1:18" x14ac:dyDescent="0.35">
      <c r="A37" s="1">
        <v>92250</v>
      </c>
      <c r="B37" s="1" t="s">
        <v>166</v>
      </c>
      <c r="C37" s="25" t="s">
        <v>167</v>
      </c>
      <c r="D37" s="27"/>
      <c r="E37" s="27"/>
      <c r="F37" s="27"/>
      <c r="G37" s="27"/>
      <c r="H37" s="27"/>
      <c r="I37" s="27">
        <f t="shared" si="1"/>
        <v>0</v>
      </c>
      <c r="J37" s="26" t="s">
        <v>24</v>
      </c>
      <c r="K37" s="5" t="s">
        <v>34</v>
      </c>
      <c r="L37" s="5"/>
      <c r="M37" s="5"/>
      <c r="N37" s="5" t="s">
        <v>526</v>
      </c>
      <c r="O37" s="5" t="s">
        <v>527</v>
      </c>
      <c r="P37" s="5" t="s">
        <v>89</v>
      </c>
      <c r="Q37" s="9" t="s">
        <v>528</v>
      </c>
      <c r="R37" s="7"/>
    </row>
    <row r="38" spans="1:18" x14ac:dyDescent="0.35">
      <c r="A38" s="1">
        <v>322524</v>
      </c>
      <c r="B38" s="1" t="s">
        <v>168</v>
      </c>
      <c r="C38" s="25" t="s">
        <v>169</v>
      </c>
      <c r="D38" s="27"/>
      <c r="E38" s="27"/>
      <c r="F38" s="27"/>
      <c r="G38" s="27"/>
      <c r="H38" s="27"/>
      <c r="I38" s="27">
        <f t="shared" si="1"/>
        <v>0</v>
      </c>
      <c r="J38" s="26" t="s">
        <v>33</v>
      </c>
      <c r="K38" s="5" t="s">
        <v>34</v>
      </c>
      <c r="L38" s="5"/>
      <c r="M38" s="5"/>
      <c r="N38" s="5" t="s">
        <v>551</v>
      </c>
      <c r="O38" s="5" t="s">
        <v>547</v>
      </c>
      <c r="P38" s="5" t="s">
        <v>41</v>
      </c>
      <c r="Q38" s="9" t="s">
        <v>546</v>
      </c>
      <c r="R38" s="7"/>
    </row>
    <row r="39" spans="1:18" x14ac:dyDescent="0.35">
      <c r="A39" s="1">
        <v>511913</v>
      </c>
      <c r="B39" s="1" t="s">
        <v>170</v>
      </c>
      <c r="C39" s="25" t="s">
        <v>171</v>
      </c>
      <c r="D39" s="27"/>
      <c r="E39" s="27"/>
      <c r="F39" s="27"/>
      <c r="G39" s="27"/>
      <c r="H39" s="27"/>
      <c r="I39" s="27">
        <f t="shared" si="1"/>
        <v>0</v>
      </c>
      <c r="J39" s="26" t="s">
        <v>33</v>
      </c>
      <c r="K39" s="5" t="s">
        <v>34</v>
      </c>
      <c r="L39" s="5"/>
      <c r="M39" s="5"/>
      <c r="N39" s="5" t="s">
        <v>172</v>
      </c>
      <c r="O39" s="5" t="s">
        <v>173</v>
      </c>
      <c r="P39" s="5" t="s">
        <v>48</v>
      </c>
      <c r="Q39" s="9"/>
      <c r="R39" s="7"/>
    </row>
    <row r="40" spans="1:18" x14ac:dyDescent="0.35">
      <c r="A40" s="1">
        <v>229</v>
      </c>
      <c r="B40" s="1" t="s">
        <v>174</v>
      </c>
      <c r="C40" s="25" t="s">
        <v>175</v>
      </c>
      <c r="D40" s="27"/>
      <c r="E40" s="27"/>
      <c r="F40" s="27"/>
      <c r="G40" s="27"/>
      <c r="H40" s="27"/>
      <c r="I40" s="27">
        <f t="shared" si="1"/>
        <v>0</v>
      </c>
      <c r="J40" s="26" t="s">
        <v>33</v>
      </c>
      <c r="K40" s="5" t="s">
        <v>34</v>
      </c>
      <c r="L40" s="5"/>
      <c r="M40" s="5"/>
      <c r="N40" s="5" t="s">
        <v>176</v>
      </c>
      <c r="O40" s="5" t="s">
        <v>177</v>
      </c>
      <c r="P40" s="5" t="s">
        <v>48</v>
      </c>
      <c r="Q40" s="9"/>
      <c r="R40" s="7"/>
    </row>
    <row r="41" spans="1:18" x14ac:dyDescent="0.35">
      <c r="A41" s="1">
        <v>287</v>
      </c>
      <c r="B41" s="1" t="s">
        <v>178</v>
      </c>
      <c r="C41" s="25" t="s">
        <v>179</v>
      </c>
      <c r="D41" s="27"/>
      <c r="E41" s="27"/>
      <c r="F41" s="27"/>
      <c r="G41" s="27"/>
      <c r="H41" s="27"/>
      <c r="I41" s="27">
        <f t="shared" si="1"/>
        <v>0</v>
      </c>
      <c r="J41" s="26" t="s">
        <v>33</v>
      </c>
      <c r="K41" s="5" t="s">
        <v>34</v>
      </c>
      <c r="L41" s="5"/>
      <c r="M41" s="5"/>
      <c r="N41" s="5" t="s">
        <v>180</v>
      </c>
      <c r="O41" s="5" t="s">
        <v>181</v>
      </c>
      <c r="P41" s="5" t="s">
        <v>41</v>
      </c>
      <c r="Q41" s="9"/>
      <c r="R41" s="7"/>
    </row>
    <row r="42" spans="1:18" x14ac:dyDescent="0.35">
      <c r="A42" s="1">
        <v>228329</v>
      </c>
      <c r="B42" s="1" t="s">
        <v>182</v>
      </c>
      <c r="C42" s="25" t="s">
        <v>183</v>
      </c>
      <c r="D42" s="27"/>
      <c r="E42" s="27"/>
      <c r="F42" s="27"/>
      <c r="G42" s="27"/>
      <c r="H42" s="27"/>
      <c r="I42" s="27">
        <f t="shared" si="1"/>
        <v>0</v>
      </c>
      <c r="J42" s="26" t="s">
        <v>33</v>
      </c>
      <c r="K42" s="5" t="s">
        <v>34</v>
      </c>
      <c r="L42" s="5"/>
      <c r="M42" s="5"/>
      <c r="N42" s="5" t="s">
        <v>184</v>
      </c>
      <c r="O42" s="5" t="s">
        <v>185</v>
      </c>
      <c r="P42" s="5" t="s">
        <v>48</v>
      </c>
      <c r="Q42" s="9"/>
      <c r="R42" s="7"/>
    </row>
    <row r="43" spans="1:18" x14ac:dyDescent="0.35">
      <c r="A43" s="1">
        <v>431148</v>
      </c>
      <c r="B43" s="1" t="s">
        <v>186</v>
      </c>
      <c r="C43" s="25" t="s">
        <v>187</v>
      </c>
      <c r="D43" s="27"/>
      <c r="E43" s="27"/>
      <c r="F43" s="27"/>
      <c r="G43" s="27"/>
      <c r="H43" s="27"/>
      <c r="I43" s="27">
        <f t="shared" si="1"/>
        <v>0</v>
      </c>
      <c r="J43" s="26" t="s">
        <v>24</v>
      </c>
      <c r="K43" s="5" t="s">
        <v>34</v>
      </c>
      <c r="L43" s="5"/>
      <c r="M43" s="5"/>
      <c r="N43" s="5" t="s">
        <v>502</v>
      </c>
      <c r="O43" s="5" t="s">
        <v>503</v>
      </c>
      <c r="P43" s="5" t="s">
        <v>188</v>
      </c>
      <c r="Q43" s="9" t="s">
        <v>504</v>
      </c>
      <c r="R43" s="7"/>
    </row>
    <row r="44" spans="1:18" x14ac:dyDescent="0.35">
      <c r="A44" s="1">
        <v>546084</v>
      </c>
      <c r="B44" s="1" t="s">
        <v>189</v>
      </c>
      <c r="C44" s="25" t="s">
        <v>190</v>
      </c>
      <c r="D44" s="27"/>
      <c r="E44" s="27"/>
      <c r="F44" s="27"/>
      <c r="G44" s="27"/>
      <c r="H44" s="27"/>
      <c r="I44" s="27">
        <f t="shared" si="1"/>
        <v>0</v>
      </c>
      <c r="J44" s="26" t="s">
        <v>33</v>
      </c>
      <c r="K44" s="5" t="s">
        <v>34</v>
      </c>
      <c r="L44" s="5"/>
      <c r="M44" s="5"/>
      <c r="N44" s="5" t="s">
        <v>191</v>
      </c>
      <c r="O44" s="5" t="s">
        <v>192</v>
      </c>
      <c r="P44" s="5" t="s">
        <v>193</v>
      </c>
      <c r="Q44" s="9"/>
      <c r="R44" s="7"/>
    </row>
    <row r="45" spans="1:18" x14ac:dyDescent="0.35">
      <c r="A45" s="1">
        <v>471523</v>
      </c>
      <c r="B45" s="1" t="s">
        <v>194</v>
      </c>
      <c r="C45" s="25" t="s">
        <v>195</v>
      </c>
      <c r="D45" s="27"/>
      <c r="E45" s="27"/>
      <c r="F45" s="27"/>
      <c r="G45" s="27"/>
      <c r="H45" s="27"/>
      <c r="I45" s="27">
        <f t="shared" si="1"/>
        <v>0</v>
      </c>
      <c r="J45" s="26" t="s">
        <v>33</v>
      </c>
      <c r="K45" s="5" t="s">
        <v>34</v>
      </c>
      <c r="L45" s="5"/>
      <c r="M45" s="5"/>
      <c r="N45" s="5" t="s">
        <v>196</v>
      </c>
      <c r="O45" s="5" t="s">
        <v>125</v>
      </c>
      <c r="P45" s="5" t="s">
        <v>28</v>
      </c>
      <c r="Q45" s="9"/>
      <c r="R45" s="7"/>
    </row>
    <row r="46" spans="1:18" x14ac:dyDescent="0.35">
      <c r="A46" s="1">
        <v>546083</v>
      </c>
      <c r="B46" s="1" t="s">
        <v>197</v>
      </c>
      <c r="C46" s="25" t="s">
        <v>198</v>
      </c>
      <c r="D46" s="27"/>
      <c r="E46" s="27"/>
      <c r="F46" s="27"/>
      <c r="G46" s="27"/>
      <c r="H46" s="27"/>
      <c r="I46" s="27">
        <f t="shared" si="1"/>
        <v>0</v>
      </c>
      <c r="J46" s="26" t="s">
        <v>33</v>
      </c>
      <c r="K46" s="5" t="s">
        <v>34</v>
      </c>
      <c r="L46" s="5"/>
      <c r="M46" s="5"/>
      <c r="N46" s="5" t="s">
        <v>199</v>
      </c>
      <c r="O46" s="5" t="s">
        <v>200</v>
      </c>
      <c r="P46" s="5" t="s">
        <v>48</v>
      </c>
      <c r="Q46" s="9"/>
      <c r="R46" s="7"/>
    </row>
    <row r="47" spans="1:18" x14ac:dyDescent="0.35">
      <c r="A47" s="1">
        <v>194066</v>
      </c>
      <c r="B47" s="1" t="s">
        <v>201</v>
      </c>
      <c r="C47" s="25" t="s">
        <v>202</v>
      </c>
      <c r="D47" s="27"/>
      <c r="E47" s="27"/>
      <c r="F47" s="27"/>
      <c r="G47" s="27"/>
      <c r="H47" s="27"/>
      <c r="I47" s="27">
        <f t="shared" si="1"/>
        <v>0</v>
      </c>
      <c r="J47" s="26" t="s">
        <v>33</v>
      </c>
      <c r="K47" s="5" t="s">
        <v>34</v>
      </c>
      <c r="L47" s="5"/>
      <c r="M47" s="5"/>
      <c r="N47" s="5" t="s">
        <v>203</v>
      </c>
      <c r="O47" s="5" t="s">
        <v>204</v>
      </c>
      <c r="P47" s="5" t="s">
        <v>48</v>
      </c>
      <c r="Q47" s="9"/>
      <c r="R47" s="7"/>
    </row>
    <row r="48" spans="1:18" x14ac:dyDescent="0.35">
      <c r="A48" s="1">
        <v>423833</v>
      </c>
      <c r="B48" s="1" t="s">
        <v>205</v>
      </c>
      <c r="C48" s="25" t="s">
        <v>206</v>
      </c>
      <c r="D48" s="27"/>
      <c r="E48" s="27"/>
      <c r="F48" s="27"/>
      <c r="G48" s="27"/>
      <c r="H48" s="27"/>
      <c r="I48" s="27">
        <f t="shared" si="1"/>
        <v>0</v>
      </c>
      <c r="J48" s="26" t="s">
        <v>24</v>
      </c>
      <c r="K48" s="5" t="s">
        <v>34</v>
      </c>
      <c r="L48" s="5"/>
      <c r="M48" s="5"/>
      <c r="N48" s="5" t="s">
        <v>499</v>
      </c>
      <c r="O48" s="5" t="s">
        <v>501</v>
      </c>
      <c r="P48" s="5" t="s">
        <v>48</v>
      </c>
      <c r="Q48" s="9" t="s">
        <v>500</v>
      </c>
      <c r="R48" s="7"/>
    </row>
    <row r="49" spans="1:18" x14ac:dyDescent="0.35">
      <c r="A49" s="1">
        <v>313294</v>
      </c>
      <c r="B49" s="1" t="s">
        <v>208</v>
      </c>
      <c r="C49" s="25" t="s">
        <v>209</v>
      </c>
      <c r="D49" s="27"/>
      <c r="E49" s="27"/>
      <c r="F49" s="27"/>
      <c r="G49" s="27"/>
      <c r="H49" s="27"/>
      <c r="I49" s="27">
        <f t="shared" si="1"/>
        <v>0</v>
      </c>
      <c r="J49" s="26" t="s">
        <v>33</v>
      </c>
      <c r="K49" s="5" t="s">
        <v>34</v>
      </c>
      <c r="L49" s="5"/>
      <c r="M49" s="5"/>
      <c r="N49" s="5" t="s">
        <v>210</v>
      </c>
      <c r="O49" s="5" t="s">
        <v>125</v>
      </c>
      <c r="P49" s="5" t="s">
        <v>28</v>
      </c>
      <c r="Q49" s="9"/>
      <c r="R49" s="7"/>
    </row>
    <row r="50" spans="1:18" x14ac:dyDescent="0.35">
      <c r="A50" s="1">
        <v>236</v>
      </c>
      <c r="B50" s="1" t="s">
        <v>211</v>
      </c>
      <c r="C50" s="25" t="s">
        <v>212</v>
      </c>
      <c r="D50" s="27"/>
      <c r="E50" s="27"/>
      <c r="F50" s="27"/>
      <c r="G50" s="27"/>
      <c r="H50" s="27"/>
      <c r="I50" s="27">
        <f t="shared" si="1"/>
        <v>0</v>
      </c>
      <c r="J50" s="26" t="s">
        <v>33</v>
      </c>
      <c r="K50" s="5" t="s">
        <v>34</v>
      </c>
      <c r="L50" s="5"/>
      <c r="M50" s="5"/>
      <c r="N50" s="5" t="s">
        <v>213</v>
      </c>
      <c r="O50" s="5" t="s">
        <v>214</v>
      </c>
      <c r="P50" s="5" t="s">
        <v>41</v>
      </c>
      <c r="Q50" s="9"/>
      <c r="R50" s="7"/>
    </row>
    <row r="51" spans="1:18" x14ac:dyDescent="0.35">
      <c r="A51" s="1">
        <v>621451</v>
      </c>
      <c r="B51" s="1" t="s">
        <v>215</v>
      </c>
      <c r="C51" s="25" t="s">
        <v>216</v>
      </c>
      <c r="D51" s="27"/>
      <c r="E51" s="27"/>
      <c r="F51" s="27"/>
      <c r="G51" s="27"/>
      <c r="H51" s="27"/>
      <c r="I51" s="27">
        <f t="shared" si="1"/>
        <v>0</v>
      </c>
      <c r="J51" s="26" t="s">
        <v>33</v>
      </c>
      <c r="K51" s="5" t="s">
        <v>34</v>
      </c>
      <c r="L51" s="5"/>
      <c r="M51" s="5"/>
      <c r="N51" s="5" t="s">
        <v>217</v>
      </c>
      <c r="O51" s="5" t="s">
        <v>218</v>
      </c>
      <c r="P51" s="5" t="s">
        <v>28</v>
      </c>
      <c r="Q51" s="9"/>
      <c r="R51" s="7"/>
    </row>
    <row r="52" spans="1:18" x14ac:dyDescent="0.35">
      <c r="A52" s="1">
        <v>237</v>
      </c>
      <c r="B52" s="1" t="s">
        <v>219</v>
      </c>
      <c r="C52" s="25" t="s">
        <v>220</v>
      </c>
      <c r="D52" s="27"/>
      <c r="E52" s="27"/>
      <c r="F52" s="27"/>
      <c r="G52" s="27"/>
      <c r="H52" s="27"/>
      <c r="I52" s="27">
        <f t="shared" si="1"/>
        <v>0</v>
      </c>
      <c r="J52" s="26" t="s">
        <v>33</v>
      </c>
      <c r="K52" s="5" t="s">
        <v>34</v>
      </c>
      <c r="L52" s="5"/>
      <c r="M52" s="5"/>
      <c r="N52" s="5" t="s">
        <v>221</v>
      </c>
      <c r="O52" s="5" t="s">
        <v>222</v>
      </c>
      <c r="P52" s="5" t="s">
        <v>48</v>
      </c>
      <c r="Q52" s="9"/>
      <c r="R52" s="7"/>
    </row>
    <row r="53" spans="1:18" x14ac:dyDescent="0.35">
      <c r="A53" s="1">
        <v>236188</v>
      </c>
      <c r="B53" s="1" t="s">
        <v>223</v>
      </c>
      <c r="C53" s="25" t="s">
        <v>224</v>
      </c>
      <c r="D53" s="27"/>
      <c r="E53" s="27"/>
      <c r="F53" s="27"/>
      <c r="G53" s="27"/>
      <c r="H53" s="27"/>
      <c r="I53" s="27">
        <f t="shared" si="1"/>
        <v>0</v>
      </c>
      <c r="J53" s="26" t="s">
        <v>33</v>
      </c>
      <c r="K53" s="5" t="s">
        <v>34</v>
      </c>
      <c r="L53" s="5"/>
      <c r="M53" s="5"/>
      <c r="N53" s="5" t="s">
        <v>225</v>
      </c>
      <c r="O53" s="5" t="s">
        <v>226</v>
      </c>
      <c r="P53" s="5" t="s">
        <v>41</v>
      </c>
      <c r="Q53" s="9"/>
      <c r="R53" s="7"/>
    </row>
    <row r="54" spans="1:18" x14ac:dyDescent="0.35">
      <c r="A54" s="1">
        <v>356028</v>
      </c>
      <c r="B54" s="1" t="s">
        <v>227</v>
      </c>
      <c r="C54" s="25" t="s">
        <v>228</v>
      </c>
      <c r="D54" s="27"/>
      <c r="E54" s="27"/>
      <c r="F54" s="27"/>
      <c r="G54" s="27"/>
      <c r="H54" s="27"/>
      <c r="I54" s="27">
        <f t="shared" si="1"/>
        <v>0</v>
      </c>
      <c r="J54" s="26" t="s">
        <v>33</v>
      </c>
      <c r="K54" s="5" t="s">
        <v>34</v>
      </c>
      <c r="L54" s="5"/>
      <c r="M54" s="5"/>
      <c r="N54" s="5" t="s">
        <v>229</v>
      </c>
      <c r="O54" s="5" t="s">
        <v>125</v>
      </c>
      <c r="P54" s="5" t="s">
        <v>28</v>
      </c>
      <c r="Q54" s="9"/>
      <c r="R54" s="7"/>
    </row>
    <row r="55" spans="1:18" x14ac:dyDescent="0.35">
      <c r="A55" s="1">
        <v>224358</v>
      </c>
      <c r="B55" s="1" t="s">
        <v>230</v>
      </c>
      <c r="C55" s="25" t="s">
        <v>231</v>
      </c>
      <c r="D55" s="27"/>
      <c r="E55" s="27"/>
      <c r="F55" s="27"/>
      <c r="G55" s="27"/>
      <c r="H55" s="27"/>
      <c r="I55" s="27">
        <f t="shared" si="1"/>
        <v>0</v>
      </c>
      <c r="J55" s="26" t="s">
        <v>33</v>
      </c>
      <c r="K55" s="5" t="s">
        <v>34</v>
      </c>
      <c r="L55" s="5"/>
      <c r="M55" s="5"/>
      <c r="N55" s="5" t="s">
        <v>232</v>
      </c>
      <c r="O55" s="5" t="s">
        <v>233</v>
      </c>
      <c r="P55" s="5" t="s">
        <v>41</v>
      </c>
      <c r="Q55" s="9"/>
      <c r="R55" s="7"/>
    </row>
    <row r="56" spans="1:18" x14ac:dyDescent="0.35">
      <c r="A56" s="1"/>
      <c r="B56" s="1" t="s">
        <v>580</v>
      </c>
      <c r="C56" s="25" t="s">
        <v>575</v>
      </c>
      <c r="D56" s="27"/>
      <c r="E56" s="27"/>
      <c r="F56" s="27"/>
      <c r="G56" s="27"/>
      <c r="H56" s="27"/>
      <c r="I56" s="27">
        <f t="shared" si="1"/>
        <v>0</v>
      </c>
      <c r="J56" s="26" t="s">
        <v>24</v>
      </c>
      <c r="K56" s="5" t="s">
        <v>34</v>
      </c>
      <c r="L56" s="5" t="s">
        <v>576</v>
      </c>
      <c r="M56" s="5" t="s">
        <v>577</v>
      </c>
      <c r="N56" s="5" t="s">
        <v>578</v>
      </c>
      <c r="O56" s="5" t="s">
        <v>375</v>
      </c>
      <c r="P56" s="5" t="s">
        <v>48</v>
      </c>
      <c r="Q56" s="9" t="s">
        <v>579</v>
      </c>
      <c r="R56" s="7"/>
    </row>
    <row r="57" spans="1:18" x14ac:dyDescent="0.35">
      <c r="A57" s="1">
        <v>611563</v>
      </c>
      <c r="B57" s="1" t="s">
        <v>234</v>
      </c>
      <c r="C57" s="25" t="s">
        <v>235</v>
      </c>
      <c r="D57" s="27"/>
      <c r="E57" s="27"/>
      <c r="F57" s="27"/>
      <c r="G57" s="27"/>
      <c r="H57" s="27"/>
      <c r="I57" s="27">
        <f t="shared" si="1"/>
        <v>0</v>
      </c>
      <c r="J57" s="26" t="s">
        <v>33</v>
      </c>
      <c r="K57" s="5" t="s">
        <v>34</v>
      </c>
      <c r="L57" s="5"/>
      <c r="M57" s="5"/>
      <c r="N57" s="5" t="s">
        <v>236</v>
      </c>
      <c r="O57" s="5" t="s">
        <v>237</v>
      </c>
      <c r="P57" s="5" t="s">
        <v>28</v>
      </c>
      <c r="Q57" s="9"/>
      <c r="R57" s="7"/>
    </row>
    <row r="58" spans="1:18" x14ac:dyDescent="0.35">
      <c r="A58" s="1">
        <v>243</v>
      </c>
      <c r="B58" s="1" t="s">
        <v>238</v>
      </c>
      <c r="C58" s="25" t="s">
        <v>239</v>
      </c>
      <c r="D58" s="27"/>
      <c r="E58" s="27"/>
      <c r="F58" s="27"/>
      <c r="G58" s="27"/>
      <c r="H58" s="27"/>
      <c r="I58" s="27">
        <f t="shared" si="1"/>
        <v>0</v>
      </c>
      <c r="J58" s="26" t="s">
        <v>33</v>
      </c>
      <c r="K58" s="5" t="s">
        <v>34</v>
      </c>
      <c r="L58" s="5"/>
      <c r="M58" s="5"/>
      <c r="N58" s="5" t="s">
        <v>240</v>
      </c>
      <c r="O58" s="5" t="s">
        <v>241</v>
      </c>
      <c r="P58" s="5" t="s">
        <v>193</v>
      </c>
      <c r="Q58" s="9"/>
      <c r="R58" s="7"/>
    </row>
    <row r="59" spans="1:18" x14ac:dyDescent="0.35">
      <c r="A59" s="1">
        <v>244</v>
      </c>
      <c r="B59" s="1" t="s">
        <v>242</v>
      </c>
      <c r="C59" s="25" t="s">
        <v>243</v>
      </c>
      <c r="D59" s="27"/>
      <c r="E59" s="27"/>
      <c r="F59" s="27"/>
      <c r="G59" s="27"/>
      <c r="H59" s="27"/>
      <c r="I59" s="27">
        <f t="shared" si="1"/>
        <v>0</v>
      </c>
      <c r="J59" s="26" t="s">
        <v>33</v>
      </c>
      <c r="K59" s="5" t="s">
        <v>34</v>
      </c>
      <c r="L59" s="5"/>
      <c r="M59" s="5"/>
      <c r="N59" s="5" t="s">
        <v>244</v>
      </c>
      <c r="O59" s="5" t="s">
        <v>245</v>
      </c>
      <c r="P59" s="5" t="s">
        <v>48</v>
      </c>
      <c r="Q59" s="9"/>
      <c r="R59" s="7"/>
    </row>
    <row r="60" spans="1:18" x14ac:dyDescent="0.35">
      <c r="A60" s="1">
        <v>322525</v>
      </c>
      <c r="B60" s="1" t="s">
        <v>246</v>
      </c>
      <c r="C60" s="25" t="s">
        <v>247</v>
      </c>
      <c r="D60" s="27"/>
      <c r="E60" s="27"/>
      <c r="F60" s="27"/>
      <c r="G60" s="27"/>
      <c r="H60" s="27"/>
      <c r="I60" s="27">
        <f t="shared" si="1"/>
        <v>0</v>
      </c>
      <c r="J60" s="26" t="s">
        <v>33</v>
      </c>
      <c r="K60" s="5" t="s">
        <v>34</v>
      </c>
      <c r="L60" s="5"/>
      <c r="M60" s="5"/>
      <c r="N60" s="5" t="s">
        <v>248</v>
      </c>
      <c r="O60" s="5" t="s">
        <v>249</v>
      </c>
      <c r="P60" s="5" t="s">
        <v>41</v>
      </c>
      <c r="Q60" s="9"/>
      <c r="R60" s="7"/>
    </row>
    <row r="61" spans="1:18" x14ac:dyDescent="0.35">
      <c r="A61" s="1">
        <v>186329</v>
      </c>
      <c r="B61" s="1" t="s">
        <v>250</v>
      </c>
      <c r="C61" s="25" t="s">
        <v>251</v>
      </c>
      <c r="D61" s="27"/>
      <c r="E61" s="27"/>
      <c r="F61" s="27"/>
      <c r="G61" s="27"/>
      <c r="H61" s="27"/>
      <c r="I61" s="27">
        <f t="shared" si="1"/>
        <v>0</v>
      </c>
      <c r="J61" s="26" t="s">
        <v>33</v>
      </c>
      <c r="K61" s="5" t="s">
        <v>34</v>
      </c>
      <c r="L61" s="5"/>
      <c r="M61" s="5"/>
      <c r="N61" s="5" t="s">
        <v>252</v>
      </c>
      <c r="O61" s="5" t="s">
        <v>253</v>
      </c>
      <c r="P61" s="5" t="s">
        <v>48</v>
      </c>
      <c r="Q61" s="9"/>
      <c r="R61" s="7"/>
    </row>
    <row r="62" spans="1:18" x14ac:dyDescent="0.35">
      <c r="A62" s="1">
        <v>204784</v>
      </c>
      <c r="B62" s="1" t="s">
        <v>254</v>
      </c>
      <c r="C62" s="25" t="s">
        <v>255</v>
      </c>
      <c r="D62" s="27"/>
      <c r="E62" s="27"/>
      <c r="F62" s="27"/>
      <c r="G62" s="27"/>
      <c r="H62" s="27"/>
      <c r="I62" s="27">
        <f t="shared" si="1"/>
        <v>0</v>
      </c>
      <c r="J62" s="26" t="s">
        <v>33</v>
      </c>
      <c r="K62" s="5" t="s">
        <v>34</v>
      </c>
      <c r="L62" s="5"/>
      <c r="M62" s="5"/>
      <c r="N62" s="5" t="s">
        <v>552</v>
      </c>
      <c r="O62" s="5" t="s">
        <v>256</v>
      </c>
      <c r="P62" s="5" t="s">
        <v>48</v>
      </c>
      <c r="Q62" s="9" t="s">
        <v>538</v>
      </c>
      <c r="R62" s="7"/>
    </row>
    <row r="63" spans="1:18" x14ac:dyDescent="0.35">
      <c r="A63" s="1">
        <v>575773</v>
      </c>
      <c r="B63" s="1" t="s">
        <v>257</v>
      </c>
      <c r="C63" s="25" t="s">
        <v>258</v>
      </c>
      <c r="D63" s="27"/>
      <c r="E63" s="27"/>
      <c r="F63" s="27"/>
      <c r="G63" s="27"/>
      <c r="H63" s="27"/>
      <c r="I63" s="27">
        <f t="shared" si="1"/>
        <v>0</v>
      </c>
      <c r="J63" s="26" t="s">
        <v>33</v>
      </c>
      <c r="K63" s="5" t="s">
        <v>34</v>
      </c>
      <c r="L63" s="5"/>
      <c r="M63" s="5"/>
      <c r="N63" s="5" t="s">
        <v>259</v>
      </c>
      <c r="O63" s="5" t="s">
        <v>100</v>
      </c>
      <c r="P63" s="5" t="s">
        <v>28</v>
      </c>
      <c r="Q63" s="9"/>
      <c r="R63" s="7"/>
    </row>
    <row r="64" spans="1:18" x14ac:dyDescent="0.35">
      <c r="A64" s="1">
        <v>246</v>
      </c>
      <c r="B64" s="1" t="s">
        <v>260</v>
      </c>
      <c r="C64" s="25" t="s">
        <v>261</v>
      </c>
      <c r="D64" s="27"/>
      <c r="E64" s="27"/>
      <c r="F64" s="27"/>
      <c r="G64" s="27"/>
      <c r="H64" s="27"/>
      <c r="I64" s="27">
        <f t="shared" si="1"/>
        <v>0</v>
      </c>
      <c r="J64" s="26" t="s">
        <v>33</v>
      </c>
      <c r="K64" s="5" t="s">
        <v>34</v>
      </c>
      <c r="L64" s="5"/>
      <c r="M64" s="5"/>
      <c r="N64" s="5" t="s">
        <v>553</v>
      </c>
      <c r="O64" s="5" t="s">
        <v>109</v>
      </c>
      <c r="P64" s="5" t="s">
        <v>28</v>
      </c>
      <c r="Q64" s="9" t="s">
        <v>539</v>
      </c>
      <c r="R64" s="7"/>
    </row>
    <row r="65" spans="1:18" x14ac:dyDescent="0.35">
      <c r="A65" s="1">
        <v>433571</v>
      </c>
      <c r="B65" s="1" t="s">
        <v>262</v>
      </c>
      <c r="C65" s="25" t="s">
        <v>263</v>
      </c>
      <c r="D65" s="27"/>
      <c r="E65" s="27"/>
      <c r="F65" s="27"/>
      <c r="G65" s="27"/>
      <c r="H65" s="27"/>
      <c r="I65" s="27">
        <f t="shared" si="1"/>
        <v>0</v>
      </c>
      <c r="J65" s="26" t="s">
        <v>33</v>
      </c>
      <c r="K65" s="5" t="s">
        <v>34</v>
      </c>
      <c r="L65" s="5"/>
      <c r="M65" s="5"/>
      <c r="N65" s="5" t="s">
        <v>264</v>
      </c>
      <c r="O65" s="5" t="s">
        <v>88</v>
      </c>
      <c r="P65" s="5" t="s">
        <v>89</v>
      </c>
      <c r="Q65" s="9"/>
      <c r="R65" s="7"/>
    </row>
    <row r="66" spans="1:18" x14ac:dyDescent="0.35">
      <c r="A66" s="1">
        <v>247</v>
      </c>
      <c r="B66" s="1" t="s">
        <v>265</v>
      </c>
      <c r="C66" s="25" t="s">
        <v>266</v>
      </c>
      <c r="D66" s="27"/>
      <c r="E66" s="27"/>
      <c r="F66" s="27"/>
      <c r="G66" s="27"/>
      <c r="H66" s="27"/>
      <c r="I66" s="27">
        <f t="shared" si="1"/>
        <v>0</v>
      </c>
      <c r="J66" s="26" t="s">
        <v>33</v>
      </c>
      <c r="K66" s="5" t="s">
        <v>34</v>
      </c>
      <c r="L66" s="5"/>
      <c r="M66" s="5"/>
      <c r="N66" s="5" t="s">
        <v>523</v>
      </c>
      <c r="O66" s="5" t="s">
        <v>524</v>
      </c>
      <c r="P66" s="5" t="s">
        <v>41</v>
      </c>
      <c r="Q66" s="9" t="s">
        <v>525</v>
      </c>
      <c r="R66" s="7"/>
    </row>
    <row r="67" spans="1:18" x14ac:dyDescent="0.35">
      <c r="A67" s="1">
        <v>554481</v>
      </c>
      <c r="B67" s="1" t="s">
        <v>267</v>
      </c>
      <c r="C67" s="25" t="s">
        <v>268</v>
      </c>
      <c r="D67" s="27"/>
      <c r="E67" s="27"/>
      <c r="F67" s="27"/>
      <c r="G67" s="27"/>
      <c r="H67" s="27"/>
      <c r="I67" s="27">
        <f t="shared" si="1"/>
        <v>0</v>
      </c>
      <c r="J67" s="26" t="s">
        <v>33</v>
      </c>
      <c r="K67" s="5" t="s">
        <v>34</v>
      </c>
      <c r="L67" s="5"/>
      <c r="M67" s="5"/>
      <c r="N67" s="5" t="s">
        <v>269</v>
      </c>
      <c r="O67" s="5" t="s">
        <v>270</v>
      </c>
      <c r="P67" s="5" t="s">
        <v>48</v>
      </c>
      <c r="Q67" s="9"/>
      <c r="R67" s="7"/>
    </row>
    <row r="68" spans="1:18" x14ac:dyDescent="0.35">
      <c r="A68" s="1">
        <v>261</v>
      </c>
      <c r="B68" s="1" t="s">
        <v>271</v>
      </c>
      <c r="C68" s="25" t="s">
        <v>272</v>
      </c>
      <c r="D68" s="27"/>
      <c r="E68" s="27"/>
      <c r="F68" s="27"/>
      <c r="G68" s="27"/>
      <c r="H68" s="27"/>
      <c r="I68" s="27">
        <f t="shared" si="1"/>
        <v>0</v>
      </c>
      <c r="J68" s="26" t="s">
        <v>24</v>
      </c>
      <c r="K68" s="5" t="s">
        <v>273</v>
      </c>
      <c r="L68" s="5"/>
      <c r="M68" s="5"/>
      <c r="N68" s="5" t="s">
        <v>274</v>
      </c>
      <c r="O68" s="5" t="s">
        <v>275</v>
      </c>
      <c r="P68" s="5" t="s">
        <v>28</v>
      </c>
      <c r="Q68" s="9">
        <v>4300</v>
      </c>
      <c r="R68" s="7"/>
    </row>
    <row r="69" spans="1:18" x14ac:dyDescent="0.35">
      <c r="A69" s="1">
        <v>249</v>
      </c>
      <c r="B69" s="1" t="s">
        <v>276</v>
      </c>
      <c r="C69" s="25" t="s">
        <v>277</v>
      </c>
      <c r="D69" s="27"/>
      <c r="E69" s="27"/>
      <c r="F69" s="27"/>
      <c r="G69" s="27"/>
      <c r="H69" s="27"/>
      <c r="I69" s="27">
        <f t="shared" si="1"/>
        <v>0</v>
      </c>
      <c r="J69" s="26" t="s">
        <v>33</v>
      </c>
      <c r="K69" s="5" t="s">
        <v>34</v>
      </c>
      <c r="L69" s="5"/>
      <c r="M69" s="5"/>
      <c r="N69" s="5" t="s">
        <v>278</v>
      </c>
      <c r="O69" s="5" t="s">
        <v>279</v>
      </c>
      <c r="P69" s="5" t="s">
        <v>193</v>
      </c>
      <c r="Q69" s="9"/>
      <c r="R69" s="7"/>
    </row>
    <row r="70" spans="1:18" x14ac:dyDescent="0.35">
      <c r="A70" s="1">
        <v>250</v>
      </c>
      <c r="B70" s="1" t="s">
        <v>280</v>
      </c>
      <c r="C70" s="25" t="s">
        <v>281</v>
      </c>
      <c r="D70" s="27"/>
      <c r="E70" s="27"/>
      <c r="F70" s="27"/>
      <c r="G70" s="27"/>
      <c r="H70" s="27"/>
      <c r="I70" s="27">
        <f t="shared" si="1"/>
        <v>0</v>
      </c>
      <c r="J70" s="26" t="s">
        <v>33</v>
      </c>
      <c r="K70" s="5" t="s">
        <v>34</v>
      </c>
      <c r="L70" s="5"/>
      <c r="M70" s="5"/>
      <c r="N70" s="5" t="s">
        <v>554</v>
      </c>
      <c r="O70" s="5" t="s">
        <v>282</v>
      </c>
      <c r="P70" s="5" t="s">
        <v>48</v>
      </c>
      <c r="Q70" s="9" t="s">
        <v>540</v>
      </c>
      <c r="R70" s="7"/>
    </row>
    <row r="71" spans="1:18" x14ac:dyDescent="0.35">
      <c r="A71" s="1">
        <v>512991</v>
      </c>
      <c r="B71" s="1" t="s">
        <v>283</v>
      </c>
      <c r="C71" s="25" t="s">
        <v>284</v>
      </c>
      <c r="D71" s="27"/>
      <c r="E71" s="27"/>
      <c r="F71" s="27"/>
      <c r="G71" s="27"/>
      <c r="H71" s="27"/>
      <c r="I71" s="27">
        <f t="shared" ref="I71:I134" si="2">SUM(D71:H71)</f>
        <v>0</v>
      </c>
      <c r="J71" s="26" t="s">
        <v>33</v>
      </c>
      <c r="K71" s="5" t="s">
        <v>34</v>
      </c>
      <c r="L71" s="5"/>
      <c r="M71" s="5"/>
      <c r="N71" s="5" t="s">
        <v>285</v>
      </c>
      <c r="O71" s="5" t="s">
        <v>286</v>
      </c>
      <c r="P71" s="5" t="s">
        <v>28</v>
      </c>
      <c r="Q71" s="9"/>
      <c r="R71" s="7"/>
    </row>
    <row r="72" spans="1:18" x14ac:dyDescent="0.35">
      <c r="A72" s="1">
        <v>251</v>
      </c>
      <c r="B72" s="1" t="s">
        <v>287</v>
      </c>
      <c r="C72" s="25" t="s">
        <v>288</v>
      </c>
      <c r="D72" s="27"/>
      <c r="E72" s="27"/>
      <c r="F72" s="27"/>
      <c r="G72" s="27"/>
      <c r="H72" s="27"/>
      <c r="I72" s="27">
        <f t="shared" si="2"/>
        <v>0</v>
      </c>
      <c r="J72" s="26" t="s">
        <v>33</v>
      </c>
      <c r="K72" s="5" t="s">
        <v>34</v>
      </c>
      <c r="L72" s="5"/>
      <c r="M72" s="5"/>
      <c r="N72" s="5" t="s">
        <v>555</v>
      </c>
      <c r="O72" s="5" t="s">
        <v>270</v>
      </c>
      <c r="P72" s="5" t="s">
        <v>48</v>
      </c>
      <c r="Q72" s="9" t="s">
        <v>542</v>
      </c>
      <c r="R72" s="7"/>
    </row>
    <row r="73" spans="1:18" x14ac:dyDescent="0.35">
      <c r="A73" s="1">
        <v>253</v>
      </c>
      <c r="B73" s="1" t="s">
        <v>289</v>
      </c>
      <c r="C73" s="25" t="s">
        <v>290</v>
      </c>
      <c r="D73" s="27"/>
      <c r="E73" s="27"/>
      <c r="F73" s="27"/>
      <c r="G73" s="27"/>
      <c r="H73" s="27"/>
      <c r="I73" s="27">
        <f t="shared" si="2"/>
        <v>0</v>
      </c>
      <c r="J73" s="26" t="s">
        <v>24</v>
      </c>
      <c r="K73" s="5" t="s">
        <v>34</v>
      </c>
      <c r="L73" s="5"/>
      <c r="M73" s="5"/>
      <c r="N73" s="5" t="s">
        <v>291</v>
      </c>
      <c r="O73" s="5" t="s">
        <v>292</v>
      </c>
      <c r="P73" s="5" t="s">
        <v>48</v>
      </c>
      <c r="Q73" s="9">
        <v>2769</v>
      </c>
      <c r="R73" s="7"/>
    </row>
    <row r="74" spans="1:18" x14ac:dyDescent="0.35">
      <c r="A74" s="1">
        <v>228330</v>
      </c>
      <c r="B74" s="1" t="s">
        <v>293</v>
      </c>
      <c r="C74" s="25" t="s">
        <v>294</v>
      </c>
      <c r="D74" s="27"/>
      <c r="E74" s="27"/>
      <c r="F74" s="27"/>
      <c r="G74" s="27"/>
      <c r="H74" s="27"/>
      <c r="I74" s="27">
        <f t="shared" si="2"/>
        <v>0</v>
      </c>
      <c r="J74" s="26" t="s">
        <v>33</v>
      </c>
      <c r="K74" s="5" t="s">
        <v>34</v>
      </c>
      <c r="L74" s="5"/>
      <c r="M74" s="5"/>
      <c r="N74" s="5" t="s">
        <v>295</v>
      </c>
      <c r="O74" s="5" t="s">
        <v>296</v>
      </c>
      <c r="P74" s="5" t="s">
        <v>41</v>
      </c>
      <c r="Q74" s="9"/>
      <c r="R74" s="7"/>
    </row>
    <row r="75" spans="1:18" x14ac:dyDescent="0.35">
      <c r="A75" s="1">
        <v>186104</v>
      </c>
      <c r="B75" s="1" t="s">
        <v>297</v>
      </c>
      <c r="C75" s="25" t="s">
        <v>298</v>
      </c>
      <c r="D75" s="27"/>
      <c r="E75" s="27"/>
      <c r="F75" s="27"/>
      <c r="G75" s="27"/>
      <c r="H75" s="27"/>
      <c r="I75" s="27">
        <f t="shared" si="2"/>
        <v>0</v>
      </c>
      <c r="J75" s="26" t="s">
        <v>33</v>
      </c>
      <c r="K75" s="5" t="s">
        <v>34</v>
      </c>
      <c r="L75" s="5"/>
      <c r="M75" s="5"/>
      <c r="N75" s="5" t="s">
        <v>299</v>
      </c>
      <c r="O75" s="5" t="s">
        <v>300</v>
      </c>
      <c r="P75" s="5" t="s">
        <v>48</v>
      </c>
      <c r="Q75" s="9"/>
      <c r="R75" s="7"/>
    </row>
    <row r="76" spans="1:18" x14ac:dyDescent="0.35">
      <c r="A76" s="1">
        <v>216885</v>
      </c>
      <c r="B76" s="1" t="s">
        <v>301</v>
      </c>
      <c r="C76" s="25" t="s">
        <v>302</v>
      </c>
      <c r="D76" s="27"/>
      <c r="E76" s="27"/>
      <c r="F76" s="27"/>
      <c r="G76" s="27"/>
      <c r="H76" s="27"/>
      <c r="I76" s="27">
        <f t="shared" si="2"/>
        <v>0</v>
      </c>
      <c r="J76" s="26" t="s">
        <v>33</v>
      </c>
      <c r="K76" s="5" t="s">
        <v>34</v>
      </c>
      <c r="L76" s="5"/>
      <c r="M76" s="5"/>
      <c r="N76" s="5" t="s">
        <v>303</v>
      </c>
      <c r="O76" s="5" t="s">
        <v>304</v>
      </c>
      <c r="P76" s="5" t="s">
        <v>41</v>
      </c>
      <c r="Q76" s="9"/>
      <c r="R76" s="7"/>
    </row>
    <row r="77" spans="1:18" x14ac:dyDescent="0.35">
      <c r="A77" s="1">
        <v>503764</v>
      </c>
      <c r="B77" s="1" t="s">
        <v>305</v>
      </c>
      <c r="C77" s="25" t="s">
        <v>306</v>
      </c>
      <c r="D77" s="27"/>
      <c r="E77" s="27"/>
      <c r="F77" s="27"/>
      <c r="G77" s="27"/>
      <c r="H77" s="27"/>
      <c r="I77" s="27">
        <f t="shared" si="2"/>
        <v>0</v>
      </c>
      <c r="J77" s="26" t="s">
        <v>33</v>
      </c>
      <c r="K77" s="5" t="s">
        <v>34</v>
      </c>
      <c r="L77" s="5"/>
      <c r="M77" s="5"/>
      <c r="N77" s="5" t="s">
        <v>307</v>
      </c>
      <c r="O77" s="5" t="s">
        <v>282</v>
      </c>
      <c r="P77" s="5" t="s">
        <v>48</v>
      </c>
      <c r="Q77" s="9"/>
      <c r="R77" s="7"/>
    </row>
    <row r="78" spans="1:18" x14ac:dyDescent="0.35">
      <c r="A78" s="1">
        <v>499036</v>
      </c>
      <c r="B78" s="1" t="s">
        <v>308</v>
      </c>
      <c r="C78" s="25" t="s">
        <v>309</v>
      </c>
      <c r="D78" s="27"/>
      <c r="E78" s="27"/>
      <c r="F78" s="27"/>
      <c r="G78" s="27"/>
      <c r="H78" s="27"/>
      <c r="I78" s="27">
        <f t="shared" si="2"/>
        <v>0</v>
      </c>
      <c r="J78" s="26" t="s">
        <v>33</v>
      </c>
      <c r="K78" s="5" t="s">
        <v>34</v>
      </c>
      <c r="L78" s="5"/>
      <c r="M78" s="5"/>
      <c r="N78" s="5" t="s">
        <v>310</v>
      </c>
      <c r="O78" s="5" t="s">
        <v>237</v>
      </c>
      <c r="P78" s="5" t="s">
        <v>28</v>
      </c>
      <c r="Q78" s="9"/>
      <c r="R78" s="7"/>
    </row>
    <row r="79" spans="1:18" x14ac:dyDescent="0.35">
      <c r="A79" s="1">
        <v>264</v>
      </c>
      <c r="B79" s="1" t="s">
        <v>311</v>
      </c>
      <c r="C79" s="25" t="s">
        <v>312</v>
      </c>
      <c r="D79" s="27"/>
      <c r="E79" s="27"/>
      <c r="F79" s="27"/>
      <c r="G79" s="27"/>
      <c r="H79" s="27"/>
      <c r="I79" s="27">
        <f t="shared" si="2"/>
        <v>0</v>
      </c>
      <c r="J79" s="26" t="s">
        <v>33</v>
      </c>
      <c r="K79" s="5" t="s">
        <v>34</v>
      </c>
      <c r="L79" s="5"/>
      <c r="M79" s="5"/>
      <c r="N79" s="5">
        <v>45303</v>
      </c>
      <c r="O79" s="5" t="s">
        <v>313</v>
      </c>
      <c r="P79" s="5" t="s">
        <v>28</v>
      </c>
      <c r="Q79" s="9"/>
      <c r="R79" s="7"/>
    </row>
    <row r="80" spans="1:18" x14ac:dyDescent="0.35">
      <c r="A80" s="1">
        <v>259</v>
      </c>
      <c r="B80" s="1" t="s">
        <v>314</v>
      </c>
      <c r="C80" s="25" t="s">
        <v>315</v>
      </c>
      <c r="D80" s="27"/>
      <c r="E80" s="27"/>
      <c r="F80" s="27"/>
      <c r="G80" s="27"/>
      <c r="H80" s="27"/>
      <c r="I80" s="27">
        <f t="shared" si="2"/>
        <v>0</v>
      </c>
      <c r="J80" s="26" t="s">
        <v>24</v>
      </c>
      <c r="K80" s="5" t="s">
        <v>34</v>
      </c>
      <c r="L80" s="5"/>
      <c r="M80" s="5"/>
      <c r="N80" s="5" t="s">
        <v>508</v>
      </c>
      <c r="O80" s="5" t="s">
        <v>509</v>
      </c>
      <c r="P80" s="5" t="s">
        <v>41</v>
      </c>
      <c r="Q80" s="9" t="s">
        <v>510</v>
      </c>
      <c r="R80" s="7"/>
    </row>
    <row r="81" spans="1:18" x14ac:dyDescent="0.35">
      <c r="A81" s="1">
        <v>194183</v>
      </c>
      <c r="B81" s="1" t="s">
        <v>316</v>
      </c>
      <c r="C81" s="25" t="s">
        <v>317</v>
      </c>
      <c r="D81" s="27"/>
      <c r="E81" s="27"/>
      <c r="F81" s="27"/>
      <c r="G81" s="27"/>
      <c r="H81" s="27"/>
      <c r="I81" s="27">
        <f t="shared" si="2"/>
        <v>0</v>
      </c>
      <c r="J81" s="26" t="s">
        <v>33</v>
      </c>
      <c r="K81" s="5" t="s">
        <v>34</v>
      </c>
      <c r="L81" s="5"/>
      <c r="M81" s="5"/>
      <c r="N81" s="5" t="s">
        <v>556</v>
      </c>
      <c r="O81" s="5" t="s">
        <v>543</v>
      </c>
      <c r="P81" s="5" t="s">
        <v>41</v>
      </c>
      <c r="Q81" s="9" t="s">
        <v>544</v>
      </c>
      <c r="R81" s="7"/>
    </row>
    <row r="82" spans="1:18" x14ac:dyDescent="0.35">
      <c r="A82" s="1">
        <v>518791</v>
      </c>
      <c r="B82" s="1" t="s">
        <v>318</v>
      </c>
      <c r="C82" s="25" t="s">
        <v>319</v>
      </c>
      <c r="D82" s="27"/>
      <c r="E82" s="27"/>
      <c r="F82" s="27"/>
      <c r="G82" s="27"/>
      <c r="H82" s="27"/>
      <c r="I82" s="27">
        <f t="shared" si="2"/>
        <v>0</v>
      </c>
      <c r="J82" s="26" t="s">
        <v>24</v>
      </c>
      <c r="K82" s="5" t="s">
        <v>34</v>
      </c>
      <c r="L82" s="5"/>
      <c r="M82" s="5"/>
      <c r="N82" s="5" t="s">
        <v>518</v>
      </c>
      <c r="O82" s="5" t="s">
        <v>519</v>
      </c>
      <c r="P82" s="5" t="s">
        <v>28</v>
      </c>
      <c r="Q82" s="9" t="s">
        <v>520</v>
      </c>
      <c r="R82" s="7"/>
    </row>
    <row r="83" spans="1:18" x14ac:dyDescent="0.35">
      <c r="A83" s="1">
        <v>266</v>
      </c>
      <c r="B83" s="1" t="s">
        <v>320</v>
      </c>
      <c r="C83" s="25" t="s">
        <v>321</v>
      </c>
      <c r="D83" s="27"/>
      <c r="E83" s="27"/>
      <c r="F83" s="27"/>
      <c r="G83" s="27"/>
      <c r="H83" s="27"/>
      <c r="I83" s="27">
        <f t="shared" si="2"/>
        <v>0</v>
      </c>
      <c r="J83" s="26" t="s">
        <v>33</v>
      </c>
      <c r="K83" s="5" t="s">
        <v>34</v>
      </c>
      <c r="L83" s="5"/>
      <c r="M83" s="5"/>
      <c r="N83" s="5" t="s">
        <v>322</v>
      </c>
      <c r="O83" s="5" t="s">
        <v>323</v>
      </c>
      <c r="P83" s="5" t="s">
        <v>28</v>
      </c>
      <c r="Q83" s="9"/>
      <c r="R83" s="7"/>
    </row>
    <row r="84" spans="1:18" x14ac:dyDescent="0.35">
      <c r="A84" s="1">
        <v>192117</v>
      </c>
      <c r="B84" s="1" t="s">
        <v>324</v>
      </c>
      <c r="C84" s="25" t="s">
        <v>325</v>
      </c>
      <c r="D84" s="27"/>
      <c r="E84" s="27"/>
      <c r="F84" s="27"/>
      <c r="G84" s="27"/>
      <c r="H84" s="27"/>
      <c r="I84" s="27">
        <f t="shared" si="2"/>
        <v>0</v>
      </c>
      <c r="J84" s="26" t="s">
        <v>33</v>
      </c>
      <c r="K84" s="5" t="s">
        <v>34</v>
      </c>
      <c r="L84" s="5"/>
      <c r="M84" s="5"/>
      <c r="N84" s="5" t="s">
        <v>326</v>
      </c>
      <c r="O84" s="5" t="s">
        <v>327</v>
      </c>
      <c r="P84" s="5" t="s">
        <v>48</v>
      </c>
      <c r="Q84" s="9"/>
      <c r="R84" s="7"/>
    </row>
    <row r="85" spans="1:18" x14ac:dyDescent="0.35">
      <c r="A85" s="1">
        <v>399398</v>
      </c>
      <c r="B85" s="1" t="s">
        <v>328</v>
      </c>
      <c r="C85" s="25" t="s">
        <v>329</v>
      </c>
      <c r="D85" s="27"/>
      <c r="E85" s="27"/>
      <c r="F85" s="27"/>
      <c r="G85" s="27"/>
      <c r="H85" s="27"/>
      <c r="I85" s="27">
        <f t="shared" si="2"/>
        <v>0</v>
      </c>
      <c r="J85" s="26" t="s">
        <v>33</v>
      </c>
      <c r="K85" s="5" t="s">
        <v>34</v>
      </c>
      <c r="L85" s="5"/>
      <c r="M85" s="5"/>
      <c r="N85" s="5" t="s">
        <v>330</v>
      </c>
      <c r="O85" s="5" t="s">
        <v>100</v>
      </c>
      <c r="P85" s="5" t="s">
        <v>28</v>
      </c>
      <c r="Q85" s="9"/>
      <c r="R85" s="7"/>
    </row>
    <row r="86" spans="1:18" x14ac:dyDescent="0.35">
      <c r="A86" s="1">
        <v>295</v>
      </c>
      <c r="B86" s="1" t="s">
        <v>331</v>
      </c>
      <c r="C86" s="25" t="s">
        <v>332</v>
      </c>
      <c r="D86" s="27"/>
      <c r="E86" s="27"/>
      <c r="F86" s="27"/>
      <c r="G86" s="27"/>
      <c r="H86" s="27"/>
      <c r="I86" s="27">
        <f t="shared" si="2"/>
        <v>0</v>
      </c>
      <c r="J86" s="26" t="s">
        <v>24</v>
      </c>
      <c r="K86" s="1" t="s">
        <v>333</v>
      </c>
      <c r="L86" s="1"/>
      <c r="M86" s="1"/>
      <c r="N86" s="5" t="s">
        <v>334</v>
      </c>
      <c r="O86" s="5" t="s">
        <v>335</v>
      </c>
      <c r="P86" s="5" t="s">
        <v>28</v>
      </c>
      <c r="Q86" s="9" t="s">
        <v>336</v>
      </c>
      <c r="R86" s="7"/>
    </row>
    <row r="87" spans="1:18" x14ac:dyDescent="0.35">
      <c r="A87" s="1">
        <v>144</v>
      </c>
      <c r="B87" s="1" t="s">
        <v>337</v>
      </c>
      <c r="C87" s="25" t="s">
        <v>338</v>
      </c>
      <c r="D87" s="27"/>
      <c r="E87" s="27"/>
      <c r="F87" s="27"/>
      <c r="G87" s="27"/>
      <c r="H87" s="27"/>
      <c r="I87" s="27">
        <f t="shared" si="2"/>
        <v>0</v>
      </c>
      <c r="J87" s="26" t="s">
        <v>33</v>
      </c>
      <c r="K87" s="5" t="s">
        <v>34</v>
      </c>
      <c r="L87" s="5"/>
      <c r="M87" s="5"/>
      <c r="N87" s="5" t="s">
        <v>339</v>
      </c>
      <c r="O87" s="5" t="s">
        <v>296</v>
      </c>
      <c r="P87" s="5" t="s">
        <v>41</v>
      </c>
      <c r="Q87" s="9"/>
      <c r="R87" s="7"/>
    </row>
    <row r="88" spans="1:18" x14ac:dyDescent="0.35">
      <c r="A88" s="1">
        <v>269</v>
      </c>
      <c r="B88" s="1" t="s">
        <v>340</v>
      </c>
      <c r="C88" s="25" t="s">
        <v>341</v>
      </c>
      <c r="D88" s="27"/>
      <c r="E88" s="27"/>
      <c r="F88" s="27"/>
      <c r="G88" s="27"/>
      <c r="H88" s="27"/>
      <c r="I88" s="27">
        <f t="shared" si="2"/>
        <v>0</v>
      </c>
      <c r="J88" s="26" t="s">
        <v>33</v>
      </c>
      <c r="K88" s="5" t="s">
        <v>34</v>
      </c>
      <c r="L88" s="5"/>
      <c r="M88" s="5"/>
      <c r="N88" s="5" t="s">
        <v>342</v>
      </c>
      <c r="O88" s="5" t="s">
        <v>343</v>
      </c>
      <c r="P88" s="5" t="s">
        <v>48</v>
      </c>
      <c r="Q88" s="9"/>
      <c r="R88" s="7"/>
    </row>
    <row r="89" spans="1:18" x14ac:dyDescent="0.35">
      <c r="A89" s="1">
        <v>270</v>
      </c>
      <c r="B89" s="1" t="s">
        <v>344</v>
      </c>
      <c r="C89" s="25" t="s">
        <v>345</v>
      </c>
      <c r="D89" s="27"/>
      <c r="E89" s="27"/>
      <c r="F89" s="27"/>
      <c r="G89" s="27"/>
      <c r="H89" s="27"/>
      <c r="I89" s="27">
        <f t="shared" si="2"/>
        <v>0</v>
      </c>
      <c r="J89" s="26" t="s">
        <v>33</v>
      </c>
      <c r="K89" s="5" t="s">
        <v>34</v>
      </c>
      <c r="L89" s="5"/>
      <c r="M89" s="5"/>
      <c r="N89" s="5" t="s">
        <v>346</v>
      </c>
      <c r="O89" s="5" t="s">
        <v>134</v>
      </c>
      <c r="P89" s="5" t="s">
        <v>48</v>
      </c>
      <c r="Q89" s="9"/>
      <c r="R89" s="7"/>
    </row>
    <row r="90" spans="1:18" ht="16.5" x14ac:dyDescent="0.35">
      <c r="A90" s="1">
        <v>5377</v>
      </c>
      <c r="B90" s="1" t="s">
        <v>347</v>
      </c>
      <c r="C90" s="25" t="s">
        <v>348</v>
      </c>
      <c r="D90" s="27"/>
      <c r="E90" s="27"/>
      <c r="F90" s="27"/>
      <c r="G90" s="27"/>
      <c r="H90" s="27"/>
      <c r="I90" s="27">
        <f t="shared" si="2"/>
        <v>0</v>
      </c>
      <c r="J90" s="26" t="s">
        <v>24</v>
      </c>
      <c r="K90" s="5" t="s">
        <v>34</v>
      </c>
      <c r="L90" s="5"/>
      <c r="M90" s="33"/>
      <c r="N90" s="5" t="s">
        <v>349</v>
      </c>
      <c r="O90" s="5" t="s">
        <v>350</v>
      </c>
      <c r="P90" s="5" t="s">
        <v>89</v>
      </c>
      <c r="Q90" s="9" t="s">
        <v>351</v>
      </c>
      <c r="R90" s="7"/>
    </row>
    <row r="91" spans="1:18" x14ac:dyDescent="0.35">
      <c r="A91" s="1">
        <v>271</v>
      </c>
      <c r="B91" s="1" t="s">
        <v>352</v>
      </c>
      <c r="C91" s="25" t="s">
        <v>353</v>
      </c>
      <c r="D91" s="27"/>
      <c r="E91" s="27"/>
      <c r="F91" s="27"/>
      <c r="G91" s="27"/>
      <c r="H91" s="27"/>
      <c r="I91" s="27">
        <f t="shared" si="2"/>
        <v>0</v>
      </c>
      <c r="J91" s="26" t="s">
        <v>33</v>
      </c>
      <c r="K91" s="5" t="s">
        <v>34</v>
      </c>
      <c r="L91" s="5"/>
      <c r="M91" s="5"/>
      <c r="N91" s="5" t="s">
        <v>557</v>
      </c>
      <c r="O91" s="5" t="s">
        <v>204</v>
      </c>
      <c r="P91" s="5" t="s">
        <v>48</v>
      </c>
      <c r="Q91" s="9" t="s">
        <v>541</v>
      </c>
      <c r="R91" s="7"/>
    </row>
    <row r="92" spans="1:18" x14ac:dyDescent="0.35">
      <c r="A92" s="1">
        <v>273</v>
      </c>
      <c r="B92" s="1" t="s">
        <v>354</v>
      </c>
      <c r="C92" s="25" t="s">
        <v>355</v>
      </c>
      <c r="D92" s="27"/>
      <c r="E92" s="27"/>
      <c r="F92" s="27"/>
      <c r="G92" s="27"/>
      <c r="H92" s="27"/>
      <c r="I92" s="27">
        <f t="shared" si="2"/>
        <v>0</v>
      </c>
      <c r="J92" s="26" t="s">
        <v>33</v>
      </c>
      <c r="K92" s="5" t="s">
        <v>34</v>
      </c>
      <c r="L92" s="5"/>
      <c r="M92" s="5"/>
      <c r="N92" s="5" t="s">
        <v>133</v>
      </c>
      <c r="O92" s="5" t="s">
        <v>134</v>
      </c>
      <c r="P92" s="5" t="s">
        <v>48</v>
      </c>
      <c r="Q92" s="9"/>
      <c r="R92" s="7"/>
    </row>
    <row r="93" spans="1:18" x14ac:dyDescent="0.35">
      <c r="A93" s="1">
        <v>192134</v>
      </c>
      <c r="B93" s="1" t="s">
        <v>356</v>
      </c>
      <c r="C93" s="25" t="s">
        <v>357</v>
      </c>
      <c r="D93" s="27"/>
      <c r="E93" s="27"/>
      <c r="F93" s="27"/>
      <c r="G93" s="27"/>
      <c r="H93" s="27"/>
      <c r="I93" s="27">
        <f t="shared" si="2"/>
        <v>0</v>
      </c>
      <c r="J93" s="26" t="s">
        <v>33</v>
      </c>
      <c r="K93" s="5" t="s">
        <v>34</v>
      </c>
      <c r="L93" s="5"/>
      <c r="M93" s="5"/>
      <c r="N93" s="5" t="s">
        <v>358</v>
      </c>
      <c r="O93" s="5" t="s">
        <v>359</v>
      </c>
      <c r="P93" s="5" t="s">
        <v>48</v>
      </c>
      <c r="Q93" s="9"/>
      <c r="R93" s="7"/>
    </row>
    <row r="94" spans="1:18" x14ac:dyDescent="0.35">
      <c r="A94" s="1">
        <v>490139</v>
      </c>
      <c r="B94" s="1" t="s">
        <v>360</v>
      </c>
      <c r="C94" s="25" t="s">
        <v>361</v>
      </c>
      <c r="D94" s="27"/>
      <c r="E94" s="27"/>
      <c r="F94" s="27"/>
      <c r="G94" s="27"/>
      <c r="H94" s="27"/>
      <c r="I94" s="27">
        <f t="shared" si="2"/>
        <v>0</v>
      </c>
      <c r="J94" s="26" t="s">
        <v>33</v>
      </c>
      <c r="K94" s="5" t="s">
        <v>34</v>
      </c>
      <c r="L94" s="5"/>
      <c r="M94" s="5"/>
      <c r="N94" s="5" t="s">
        <v>362</v>
      </c>
      <c r="O94" s="5" t="s">
        <v>363</v>
      </c>
      <c r="P94" s="5" t="s">
        <v>89</v>
      </c>
      <c r="Q94" s="9"/>
      <c r="R94" s="7"/>
    </row>
    <row r="95" spans="1:18" x14ac:dyDescent="0.35">
      <c r="A95" s="1">
        <v>180312</v>
      </c>
      <c r="B95" s="1" t="s">
        <v>364</v>
      </c>
      <c r="C95" s="25" t="s">
        <v>365</v>
      </c>
      <c r="D95" s="27"/>
      <c r="E95" s="27"/>
      <c r="F95" s="27"/>
      <c r="G95" s="27"/>
      <c r="H95" s="27"/>
      <c r="I95" s="27">
        <f t="shared" si="2"/>
        <v>0</v>
      </c>
      <c r="J95" s="26" t="s">
        <v>33</v>
      </c>
      <c r="K95" s="5" t="s">
        <v>34</v>
      </c>
      <c r="L95" s="5"/>
      <c r="M95" s="5"/>
      <c r="N95" s="5" t="s">
        <v>366</v>
      </c>
      <c r="O95" s="5" t="s">
        <v>367</v>
      </c>
      <c r="P95" s="5" t="s">
        <v>41</v>
      </c>
      <c r="Q95" s="9"/>
      <c r="R95" s="7"/>
    </row>
    <row r="96" spans="1:18" x14ac:dyDescent="0.35">
      <c r="A96" s="1">
        <v>375597</v>
      </c>
      <c r="B96" s="1" t="s">
        <v>368</v>
      </c>
      <c r="C96" s="25" t="s">
        <v>369</v>
      </c>
      <c r="D96" s="27"/>
      <c r="E96" s="27"/>
      <c r="F96" s="27"/>
      <c r="G96" s="27"/>
      <c r="H96" s="27"/>
      <c r="I96" s="27">
        <f t="shared" si="2"/>
        <v>0</v>
      </c>
      <c r="J96" s="26" t="s">
        <v>33</v>
      </c>
      <c r="K96" s="5" t="s">
        <v>34</v>
      </c>
      <c r="L96" s="5"/>
      <c r="M96" s="5"/>
      <c r="N96" s="5" t="s">
        <v>370</v>
      </c>
      <c r="O96" s="5" t="s">
        <v>371</v>
      </c>
      <c r="P96" s="5" t="s">
        <v>41</v>
      </c>
      <c r="Q96" s="9"/>
      <c r="R96" s="7"/>
    </row>
    <row r="97" spans="1:18" x14ac:dyDescent="0.35">
      <c r="A97" s="1">
        <v>277</v>
      </c>
      <c r="B97" s="1" t="s">
        <v>372</v>
      </c>
      <c r="C97" s="25" t="s">
        <v>373</v>
      </c>
      <c r="D97" s="27"/>
      <c r="E97" s="27"/>
      <c r="F97" s="27"/>
      <c r="G97" s="27"/>
      <c r="H97" s="27"/>
      <c r="I97" s="27">
        <f t="shared" si="2"/>
        <v>0</v>
      </c>
      <c r="J97" s="26" t="s">
        <v>33</v>
      </c>
      <c r="K97" s="5" t="s">
        <v>34</v>
      </c>
      <c r="L97" s="5"/>
      <c r="M97" s="5"/>
      <c r="N97" s="5" t="s">
        <v>374</v>
      </c>
      <c r="O97" s="5" t="s">
        <v>375</v>
      </c>
      <c r="P97" s="5" t="s">
        <v>48</v>
      </c>
      <c r="Q97" s="9"/>
      <c r="R97" s="7"/>
    </row>
    <row r="98" spans="1:18" x14ac:dyDescent="0.35">
      <c r="A98" s="1">
        <v>39107</v>
      </c>
      <c r="B98" s="1" t="s">
        <v>376</v>
      </c>
      <c r="C98" s="25" t="s">
        <v>377</v>
      </c>
      <c r="D98" s="27"/>
      <c r="E98" s="27"/>
      <c r="F98" s="27"/>
      <c r="G98" s="27"/>
      <c r="H98" s="27"/>
      <c r="I98" s="27">
        <f t="shared" si="2"/>
        <v>0</v>
      </c>
      <c r="J98" s="26" t="s">
        <v>33</v>
      </c>
      <c r="K98" s="5" t="s">
        <v>34</v>
      </c>
      <c r="L98" s="5"/>
      <c r="M98" s="5"/>
      <c r="N98" s="5" t="s">
        <v>378</v>
      </c>
      <c r="O98" s="5" t="s">
        <v>379</v>
      </c>
      <c r="P98" s="5" t="s">
        <v>36</v>
      </c>
      <c r="Q98" s="9"/>
      <c r="R98" s="7"/>
    </row>
    <row r="99" spans="1:18" x14ac:dyDescent="0.35">
      <c r="A99" s="1">
        <v>184320</v>
      </c>
      <c r="B99" s="1" t="s">
        <v>380</v>
      </c>
      <c r="C99" s="25" t="s">
        <v>381</v>
      </c>
      <c r="D99" s="27"/>
      <c r="E99" s="27"/>
      <c r="F99" s="27"/>
      <c r="G99" s="27"/>
      <c r="H99" s="27"/>
      <c r="I99" s="27">
        <f t="shared" si="2"/>
        <v>0</v>
      </c>
      <c r="J99" s="26" t="s">
        <v>33</v>
      </c>
      <c r="K99" s="5" t="s">
        <v>34</v>
      </c>
      <c r="L99" s="5"/>
      <c r="M99" s="5"/>
      <c r="N99" s="5" t="s">
        <v>529</v>
      </c>
      <c r="O99" s="5" t="s">
        <v>530</v>
      </c>
      <c r="P99" s="5" t="s">
        <v>41</v>
      </c>
      <c r="Q99" s="9" t="s">
        <v>531</v>
      </c>
      <c r="R99" s="7"/>
    </row>
    <row r="100" spans="1:18" x14ac:dyDescent="0.35">
      <c r="A100" s="1">
        <v>221718</v>
      </c>
      <c r="B100" s="1" t="s">
        <v>382</v>
      </c>
      <c r="C100" s="25" t="s">
        <v>383</v>
      </c>
      <c r="D100" s="27"/>
      <c r="E100" s="27"/>
      <c r="F100" s="27"/>
      <c r="G100" s="27"/>
      <c r="H100" s="27"/>
      <c r="I100" s="27">
        <f t="shared" si="2"/>
        <v>0</v>
      </c>
      <c r="J100" s="26" t="s">
        <v>33</v>
      </c>
      <c r="K100" s="5" t="s">
        <v>34</v>
      </c>
      <c r="L100" s="5"/>
      <c r="M100" s="5"/>
      <c r="N100" s="5" t="s">
        <v>384</v>
      </c>
      <c r="O100" s="5" t="s">
        <v>385</v>
      </c>
      <c r="P100" s="5" t="s">
        <v>28</v>
      </c>
      <c r="Q100" s="9"/>
      <c r="R100" s="7"/>
    </row>
    <row r="101" spans="1:18" x14ac:dyDescent="0.35">
      <c r="A101" s="1">
        <v>282</v>
      </c>
      <c r="B101" s="1" t="s">
        <v>386</v>
      </c>
      <c r="C101" s="25" t="s">
        <v>387</v>
      </c>
      <c r="D101" s="27"/>
      <c r="E101" s="27"/>
      <c r="F101" s="27"/>
      <c r="G101" s="27"/>
      <c r="H101" s="27"/>
      <c r="I101" s="27">
        <f t="shared" si="2"/>
        <v>0</v>
      </c>
      <c r="J101" s="26" t="s">
        <v>24</v>
      </c>
      <c r="K101" s="5" t="s">
        <v>388</v>
      </c>
      <c r="L101" s="5"/>
      <c r="M101" s="5"/>
      <c r="N101" s="5" t="s">
        <v>389</v>
      </c>
      <c r="O101" s="5" t="s">
        <v>237</v>
      </c>
      <c r="P101" s="5" t="s">
        <v>28</v>
      </c>
      <c r="Q101" s="9">
        <v>4173</v>
      </c>
      <c r="R101" s="7"/>
    </row>
    <row r="102" spans="1:18" x14ac:dyDescent="0.35">
      <c r="A102" s="1">
        <v>195448</v>
      </c>
      <c r="B102" s="1" t="s">
        <v>390</v>
      </c>
      <c r="C102" s="25" t="s">
        <v>391</v>
      </c>
      <c r="D102" s="27"/>
      <c r="E102" s="27"/>
      <c r="F102" s="27"/>
      <c r="G102" s="27"/>
      <c r="H102" s="27"/>
      <c r="I102" s="27">
        <f t="shared" si="2"/>
        <v>0</v>
      </c>
      <c r="J102" s="26" t="s">
        <v>33</v>
      </c>
      <c r="K102" s="5" t="s">
        <v>34</v>
      </c>
      <c r="L102" s="5"/>
      <c r="M102" s="5"/>
      <c r="N102" s="5" t="s">
        <v>392</v>
      </c>
      <c r="O102" s="5" t="s">
        <v>375</v>
      </c>
      <c r="P102" s="5" t="s">
        <v>48</v>
      </c>
      <c r="Q102" s="9"/>
      <c r="R102" s="7"/>
    </row>
    <row r="103" spans="1:18" x14ac:dyDescent="0.35">
      <c r="A103" s="1">
        <v>220462</v>
      </c>
      <c r="B103" s="1" t="s">
        <v>393</v>
      </c>
      <c r="C103" s="25" t="s">
        <v>394</v>
      </c>
      <c r="D103" s="27"/>
      <c r="E103" s="27"/>
      <c r="F103" s="27"/>
      <c r="G103" s="27"/>
      <c r="H103" s="27"/>
      <c r="I103" s="27">
        <f t="shared" si="2"/>
        <v>0</v>
      </c>
      <c r="J103" s="26" t="s">
        <v>33</v>
      </c>
      <c r="K103" s="5" t="s">
        <v>34</v>
      </c>
      <c r="L103" s="5"/>
      <c r="M103" s="5"/>
      <c r="N103" s="5" t="s">
        <v>558</v>
      </c>
      <c r="O103" s="5" t="s">
        <v>395</v>
      </c>
      <c r="P103" s="5" t="s">
        <v>48</v>
      </c>
      <c r="Q103" s="9" t="s">
        <v>545</v>
      </c>
      <c r="R103" s="7"/>
    </row>
    <row r="104" spans="1:18" x14ac:dyDescent="0.35">
      <c r="A104" s="1">
        <v>119988</v>
      </c>
      <c r="B104" s="1" t="s">
        <v>396</v>
      </c>
      <c r="C104" s="25" t="s">
        <v>397</v>
      </c>
      <c r="D104" s="27"/>
      <c r="E104" s="27"/>
      <c r="F104" s="27"/>
      <c r="G104" s="27"/>
      <c r="H104" s="27"/>
      <c r="I104" s="27">
        <f t="shared" si="2"/>
        <v>0</v>
      </c>
      <c r="J104" s="26" t="s">
        <v>33</v>
      </c>
      <c r="K104" s="5" t="s">
        <v>34</v>
      </c>
      <c r="L104" s="5"/>
      <c r="M104" s="5"/>
      <c r="N104" s="5" t="s">
        <v>398</v>
      </c>
      <c r="O104" s="5" t="s">
        <v>399</v>
      </c>
      <c r="P104" s="5" t="s">
        <v>48</v>
      </c>
      <c r="Q104" s="9"/>
      <c r="R104" s="7"/>
    </row>
    <row r="105" spans="1:18" x14ac:dyDescent="0.35">
      <c r="A105" s="1">
        <v>486680</v>
      </c>
      <c r="B105" s="1" t="s">
        <v>400</v>
      </c>
      <c r="C105" s="25" t="s">
        <v>401</v>
      </c>
      <c r="D105" s="27"/>
      <c r="E105" s="27"/>
      <c r="F105" s="27"/>
      <c r="G105" s="27"/>
      <c r="H105" s="27"/>
      <c r="I105" s="27">
        <f t="shared" si="2"/>
        <v>0</v>
      </c>
      <c r="J105" s="26" t="s">
        <v>24</v>
      </c>
      <c r="K105" s="5" t="s">
        <v>402</v>
      </c>
      <c r="L105" s="5"/>
      <c r="M105" s="5"/>
      <c r="N105" s="5" t="s">
        <v>403</v>
      </c>
      <c r="O105" s="5" t="s">
        <v>404</v>
      </c>
      <c r="P105" s="5" t="s">
        <v>28</v>
      </c>
      <c r="Q105" s="9">
        <v>4123</v>
      </c>
      <c r="R105" s="7"/>
    </row>
    <row r="106" spans="1:18" x14ac:dyDescent="0.35">
      <c r="A106" s="1">
        <v>285</v>
      </c>
      <c r="B106" s="1" t="s">
        <v>405</v>
      </c>
      <c r="C106" s="25" t="s">
        <v>406</v>
      </c>
      <c r="D106" s="27"/>
      <c r="E106" s="27"/>
      <c r="F106" s="27"/>
      <c r="G106" s="27"/>
      <c r="H106" s="27"/>
      <c r="I106" s="27">
        <f t="shared" si="2"/>
        <v>0</v>
      </c>
      <c r="J106" s="26" t="s">
        <v>33</v>
      </c>
      <c r="K106" s="5" t="s">
        <v>34</v>
      </c>
      <c r="L106" s="5"/>
      <c r="M106" s="5"/>
      <c r="N106" s="5" t="s">
        <v>407</v>
      </c>
      <c r="O106" s="5" t="s">
        <v>81</v>
      </c>
      <c r="P106" s="5" t="s">
        <v>41</v>
      </c>
      <c r="Q106" s="9"/>
      <c r="R106" s="7"/>
    </row>
    <row r="107" spans="1:18" x14ac:dyDescent="0.35">
      <c r="A107" s="1">
        <v>286</v>
      </c>
      <c r="B107" s="1" t="s">
        <v>408</v>
      </c>
      <c r="C107" s="25" t="s">
        <v>409</v>
      </c>
      <c r="D107" s="27"/>
      <c r="E107" s="27"/>
      <c r="F107" s="27"/>
      <c r="G107" s="27"/>
      <c r="H107" s="27"/>
      <c r="I107" s="27">
        <f t="shared" si="2"/>
        <v>0</v>
      </c>
      <c r="J107" s="26" t="s">
        <v>33</v>
      </c>
      <c r="K107" s="5" t="s">
        <v>34</v>
      </c>
      <c r="L107" s="5"/>
      <c r="M107" s="5"/>
      <c r="N107" s="5" t="s">
        <v>410</v>
      </c>
      <c r="O107" s="5" t="s">
        <v>411</v>
      </c>
      <c r="P107" s="5" t="s">
        <v>41</v>
      </c>
      <c r="Q107" s="9"/>
      <c r="R107" s="7"/>
    </row>
    <row r="108" spans="1:18" x14ac:dyDescent="0.35">
      <c r="A108" s="1">
        <v>294246</v>
      </c>
      <c r="B108" s="1" t="s">
        <v>412</v>
      </c>
      <c r="C108" s="25" t="s">
        <v>413</v>
      </c>
      <c r="D108" s="27"/>
      <c r="E108" s="27"/>
      <c r="F108" s="27"/>
      <c r="G108" s="27"/>
      <c r="H108" s="27"/>
      <c r="I108" s="27">
        <f t="shared" si="2"/>
        <v>0</v>
      </c>
      <c r="J108" s="26" t="s">
        <v>33</v>
      </c>
      <c r="K108" s="5" t="s">
        <v>34</v>
      </c>
      <c r="L108" s="5"/>
      <c r="M108" s="5"/>
      <c r="N108" s="5" t="s">
        <v>414</v>
      </c>
      <c r="O108" s="5" t="s">
        <v>204</v>
      </c>
      <c r="P108" s="5" t="s">
        <v>48</v>
      </c>
      <c r="Q108" s="9"/>
      <c r="R108" s="7"/>
    </row>
    <row r="109" spans="1:18" ht="16.5" x14ac:dyDescent="0.35">
      <c r="A109" s="1">
        <v>170959</v>
      </c>
      <c r="B109" s="1" t="s">
        <v>415</v>
      </c>
      <c r="C109" s="25" t="s">
        <v>416</v>
      </c>
      <c r="D109" s="27"/>
      <c r="E109" s="27"/>
      <c r="F109" s="27"/>
      <c r="G109" s="27"/>
      <c r="H109" s="27"/>
      <c r="I109" s="27">
        <f t="shared" si="2"/>
        <v>0</v>
      </c>
      <c r="J109" s="26" t="s">
        <v>33</v>
      </c>
      <c r="K109" s="5" t="s">
        <v>34</v>
      </c>
      <c r="L109" s="5" t="s">
        <v>569</v>
      </c>
      <c r="M109" s="33">
        <v>413691109</v>
      </c>
      <c r="N109" s="5" t="s">
        <v>559</v>
      </c>
      <c r="O109" s="5" t="s">
        <v>245</v>
      </c>
      <c r="P109" s="5" t="s">
        <v>48</v>
      </c>
      <c r="Q109" s="9" t="s">
        <v>537</v>
      </c>
      <c r="R109" s="7"/>
    </row>
    <row r="110" spans="1:18" x14ac:dyDescent="0.35">
      <c r="A110" s="1">
        <v>290</v>
      </c>
      <c r="B110" s="1" t="s">
        <v>417</v>
      </c>
      <c r="C110" s="25" t="s">
        <v>418</v>
      </c>
      <c r="D110" s="27"/>
      <c r="E110" s="27"/>
      <c r="F110" s="27"/>
      <c r="G110" s="27"/>
      <c r="H110" s="27"/>
      <c r="I110" s="27">
        <f t="shared" si="2"/>
        <v>0</v>
      </c>
      <c r="J110" s="26" t="s">
        <v>33</v>
      </c>
      <c r="K110" s="5" t="s">
        <v>34</v>
      </c>
      <c r="L110" s="5"/>
      <c r="M110" s="5"/>
      <c r="N110" s="5" t="s">
        <v>419</v>
      </c>
      <c r="O110" s="5" t="s">
        <v>125</v>
      </c>
      <c r="P110" s="5" t="s">
        <v>28</v>
      </c>
      <c r="Q110" s="9"/>
      <c r="R110" s="7"/>
    </row>
    <row r="111" spans="1:18" x14ac:dyDescent="0.35">
      <c r="A111" s="1">
        <v>180313</v>
      </c>
      <c r="B111" s="1" t="s">
        <v>420</v>
      </c>
      <c r="C111" s="25" t="s">
        <v>421</v>
      </c>
      <c r="D111" s="27"/>
      <c r="E111" s="27"/>
      <c r="F111" s="27"/>
      <c r="G111" s="27"/>
      <c r="H111" s="27"/>
      <c r="I111" s="27">
        <f t="shared" si="2"/>
        <v>0</v>
      </c>
      <c r="J111" s="26" t="s">
        <v>33</v>
      </c>
      <c r="K111" s="5" t="s">
        <v>34</v>
      </c>
      <c r="L111" s="5"/>
      <c r="M111" s="5"/>
      <c r="N111" s="5" t="s">
        <v>511</v>
      </c>
      <c r="O111" s="5" t="s">
        <v>367</v>
      </c>
      <c r="P111" s="5" t="s">
        <v>41</v>
      </c>
      <c r="Q111" s="9"/>
      <c r="R111" s="7"/>
    </row>
    <row r="112" spans="1:18" x14ac:dyDescent="0.35">
      <c r="A112" s="1">
        <v>219407</v>
      </c>
      <c r="B112" s="1" t="s">
        <v>422</v>
      </c>
      <c r="C112" s="25" t="s">
        <v>423</v>
      </c>
      <c r="D112" s="27"/>
      <c r="E112" s="27"/>
      <c r="F112" s="27"/>
      <c r="G112" s="27"/>
      <c r="H112" s="27"/>
      <c r="I112" s="27">
        <f t="shared" si="2"/>
        <v>0</v>
      </c>
      <c r="J112" s="26" t="s">
        <v>33</v>
      </c>
      <c r="K112" s="5" t="s">
        <v>34</v>
      </c>
      <c r="L112" s="5"/>
      <c r="M112" s="5"/>
      <c r="N112" s="5" t="s">
        <v>424</v>
      </c>
      <c r="O112" s="5" t="s">
        <v>125</v>
      </c>
      <c r="P112" s="5" t="s">
        <v>28</v>
      </c>
      <c r="Q112" s="9"/>
      <c r="R112" s="7"/>
    </row>
    <row r="113" spans="1:18" x14ac:dyDescent="0.35">
      <c r="A113" s="1">
        <v>291</v>
      </c>
      <c r="B113" s="1" t="s">
        <v>425</v>
      </c>
      <c r="C113" s="25" t="s">
        <v>426</v>
      </c>
      <c r="D113" s="27"/>
      <c r="E113" s="27"/>
      <c r="F113" s="27"/>
      <c r="G113" s="27"/>
      <c r="H113" s="27"/>
      <c r="I113" s="27">
        <f t="shared" si="2"/>
        <v>0</v>
      </c>
      <c r="J113" s="26" t="s">
        <v>24</v>
      </c>
      <c r="K113" s="5" t="s">
        <v>25</v>
      </c>
      <c r="L113" s="5"/>
      <c r="M113" s="5"/>
      <c r="N113" s="5" t="s">
        <v>26</v>
      </c>
      <c r="O113" s="5" t="s">
        <v>27</v>
      </c>
      <c r="P113" s="5" t="s">
        <v>28</v>
      </c>
      <c r="Q113" s="9">
        <v>4209</v>
      </c>
      <c r="R113" s="7"/>
    </row>
    <row r="114" spans="1:18" x14ac:dyDescent="0.35">
      <c r="A114" s="1">
        <v>292</v>
      </c>
      <c r="B114" s="1" t="s">
        <v>427</v>
      </c>
      <c r="C114" s="25" t="s">
        <v>428</v>
      </c>
      <c r="D114" s="27"/>
      <c r="E114" s="27"/>
      <c r="F114" s="27"/>
      <c r="G114" s="27"/>
      <c r="H114" s="27"/>
      <c r="I114" s="27">
        <f t="shared" si="2"/>
        <v>0</v>
      </c>
      <c r="J114" s="26" t="s">
        <v>33</v>
      </c>
      <c r="K114" s="5" t="s">
        <v>34</v>
      </c>
      <c r="L114" s="5"/>
      <c r="M114" s="5"/>
      <c r="N114" s="5" t="s">
        <v>429</v>
      </c>
      <c r="O114" s="5" t="s">
        <v>430</v>
      </c>
      <c r="P114" s="5" t="s">
        <v>41</v>
      </c>
      <c r="Q114" s="9"/>
      <c r="R114" s="7"/>
    </row>
    <row r="115" spans="1:18" x14ac:dyDescent="0.35">
      <c r="A115" s="1">
        <v>467</v>
      </c>
      <c r="B115" s="1" t="s">
        <v>431</v>
      </c>
      <c r="C115" s="25" t="s">
        <v>432</v>
      </c>
      <c r="D115" s="27"/>
      <c r="E115" s="27"/>
      <c r="F115" s="27"/>
      <c r="G115" s="27"/>
      <c r="H115" s="27"/>
      <c r="I115" s="27">
        <f t="shared" si="2"/>
        <v>0</v>
      </c>
      <c r="J115" s="26" t="s">
        <v>33</v>
      </c>
      <c r="K115" s="5" t="s">
        <v>34</v>
      </c>
      <c r="L115" s="5"/>
      <c r="M115" s="5"/>
      <c r="N115" s="5" t="s">
        <v>433</v>
      </c>
      <c r="O115" s="5" t="s">
        <v>434</v>
      </c>
      <c r="P115" s="5" t="s">
        <v>48</v>
      </c>
      <c r="Q115" s="9"/>
      <c r="R115" s="7"/>
    </row>
    <row r="116" spans="1:18" x14ac:dyDescent="0.35">
      <c r="A116" s="1">
        <v>313293</v>
      </c>
      <c r="B116" s="1" t="s">
        <v>435</v>
      </c>
      <c r="C116" s="25" t="s">
        <v>436</v>
      </c>
      <c r="D116" s="27"/>
      <c r="E116" s="27"/>
      <c r="F116" s="27"/>
      <c r="G116" s="27"/>
      <c r="H116" s="27"/>
      <c r="I116" s="27">
        <f t="shared" si="2"/>
        <v>0</v>
      </c>
      <c r="J116" s="26" t="s">
        <v>33</v>
      </c>
      <c r="K116" s="5" t="s">
        <v>34</v>
      </c>
      <c r="L116" s="5"/>
      <c r="M116" s="5"/>
      <c r="N116" s="5" t="s">
        <v>437</v>
      </c>
      <c r="O116" s="5" t="s">
        <v>125</v>
      </c>
      <c r="P116" s="5" t="s">
        <v>28</v>
      </c>
      <c r="Q116" s="9"/>
      <c r="R116" s="7"/>
    </row>
    <row r="117" spans="1:18" x14ac:dyDescent="0.35">
      <c r="A117" s="1">
        <v>36694</v>
      </c>
      <c r="B117" s="1" t="s">
        <v>438</v>
      </c>
      <c r="C117" s="25" t="s">
        <v>439</v>
      </c>
      <c r="D117" s="27"/>
      <c r="E117" s="27"/>
      <c r="F117" s="27"/>
      <c r="G117" s="27"/>
      <c r="H117" s="27"/>
      <c r="I117" s="27">
        <f t="shared" si="2"/>
        <v>0</v>
      </c>
      <c r="J117" s="26" t="s">
        <v>33</v>
      </c>
      <c r="K117" s="5" t="s">
        <v>34</v>
      </c>
      <c r="L117" s="5"/>
      <c r="M117" s="5"/>
      <c r="N117" s="5" t="s">
        <v>440</v>
      </c>
      <c r="O117" s="5" t="s">
        <v>441</v>
      </c>
      <c r="P117" s="5" t="s">
        <v>41</v>
      </c>
      <c r="Q117" s="9"/>
      <c r="R117" s="7"/>
    </row>
    <row r="118" spans="1:18" ht="16.5" x14ac:dyDescent="0.35">
      <c r="A118" s="1">
        <v>591290</v>
      </c>
      <c r="B118" s="1" t="s">
        <v>442</v>
      </c>
      <c r="C118" s="25" t="s">
        <v>443</v>
      </c>
      <c r="D118" s="27"/>
      <c r="E118" s="27"/>
      <c r="F118" s="27"/>
      <c r="G118" s="27"/>
      <c r="H118" s="27"/>
      <c r="I118" s="27">
        <f t="shared" si="2"/>
        <v>0</v>
      </c>
      <c r="J118" s="26" t="s">
        <v>33</v>
      </c>
      <c r="K118" s="5" t="s">
        <v>34</v>
      </c>
      <c r="L118" s="5" t="s">
        <v>572</v>
      </c>
      <c r="M118" s="34">
        <v>424968920</v>
      </c>
      <c r="N118" s="5" t="s">
        <v>571</v>
      </c>
      <c r="O118" s="5" t="s">
        <v>444</v>
      </c>
      <c r="P118" s="5" t="s">
        <v>28</v>
      </c>
      <c r="Q118" s="9"/>
      <c r="R118" s="7"/>
    </row>
    <row r="119" spans="1:18" x14ac:dyDescent="0.35">
      <c r="A119" s="1">
        <v>469</v>
      </c>
      <c r="B119" s="1" t="s">
        <v>445</v>
      </c>
      <c r="C119" s="25" t="s">
        <v>446</v>
      </c>
      <c r="D119" s="27"/>
      <c r="E119" s="27"/>
      <c r="F119" s="27"/>
      <c r="G119" s="27"/>
      <c r="H119" s="27"/>
      <c r="I119" s="27">
        <f t="shared" si="2"/>
        <v>0</v>
      </c>
      <c r="J119" s="26" t="s">
        <v>33</v>
      </c>
      <c r="K119" s="5" t="s">
        <v>34</v>
      </c>
      <c r="L119" s="5"/>
      <c r="M119" s="5"/>
      <c r="N119" s="5" t="s">
        <v>447</v>
      </c>
      <c r="O119" s="5" t="s">
        <v>185</v>
      </c>
      <c r="P119" s="5" t="s">
        <v>48</v>
      </c>
      <c r="Q119" s="9"/>
      <c r="R119" s="7"/>
    </row>
    <row r="120" spans="1:18" x14ac:dyDescent="0.35">
      <c r="A120" s="1">
        <v>545566</v>
      </c>
      <c r="B120" s="1" t="s">
        <v>448</v>
      </c>
      <c r="C120" s="25" t="s">
        <v>449</v>
      </c>
      <c r="D120" s="27"/>
      <c r="E120" s="27"/>
      <c r="F120" s="27"/>
      <c r="G120" s="27"/>
      <c r="H120" s="27"/>
      <c r="I120" s="27">
        <f t="shared" si="2"/>
        <v>0</v>
      </c>
      <c r="J120" s="26" t="s">
        <v>33</v>
      </c>
      <c r="K120" s="5" t="s">
        <v>34</v>
      </c>
      <c r="L120" s="5"/>
      <c r="M120" s="5"/>
      <c r="N120" s="5" t="s">
        <v>450</v>
      </c>
      <c r="O120" s="5" t="s">
        <v>375</v>
      </c>
      <c r="P120" s="5" t="s">
        <v>48</v>
      </c>
      <c r="Q120" s="9"/>
      <c r="R120" s="7"/>
    </row>
    <row r="121" spans="1:18" x14ac:dyDescent="0.35">
      <c r="A121" s="1">
        <v>138459</v>
      </c>
      <c r="B121" s="1" t="s">
        <v>451</v>
      </c>
      <c r="C121" s="25" t="s">
        <v>452</v>
      </c>
      <c r="D121" s="27"/>
      <c r="E121" s="27"/>
      <c r="F121" s="27"/>
      <c r="G121" s="27"/>
      <c r="H121" s="27"/>
      <c r="I121" s="27">
        <f t="shared" si="2"/>
        <v>0</v>
      </c>
      <c r="J121" s="26" t="s">
        <v>33</v>
      </c>
      <c r="K121" s="5" t="s">
        <v>34</v>
      </c>
      <c r="L121" s="5"/>
      <c r="M121" s="5"/>
      <c r="N121" s="5" t="s">
        <v>453</v>
      </c>
      <c r="O121" s="5" t="s">
        <v>375</v>
      </c>
      <c r="P121" s="5" t="s">
        <v>48</v>
      </c>
      <c r="Q121" s="9"/>
      <c r="R121" s="7"/>
    </row>
    <row r="122" spans="1:18" x14ac:dyDescent="0.35">
      <c r="A122" s="1">
        <v>138467</v>
      </c>
      <c r="B122" s="1" t="s">
        <v>454</v>
      </c>
      <c r="C122" s="25" t="s">
        <v>455</v>
      </c>
      <c r="D122" s="27"/>
      <c r="E122" s="27"/>
      <c r="F122" s="27"/>
      <c r="G122" s="27"/>
      <c r="H122" s="27"/>
      <c r="I122" s="27">
        <f t="shared" si="2"/>
        <v>0</v>
      </c>
      <c r="J122" s="26" t="s">
        <v>33</v>
      </c>
      <c r="K122" s="5" t="s">
        <v>34</v>
      </c>
      <c r="L122" s="5"/>
      <c r="M122" s="5"/>
      <c r="N122" s="5" t="s">
        <v>456</v>
      </c>
      <c r="O122" s="5" t="s">
        <v>375</v>
      </c>
      <c r="P122" s="5" t="s">
        <v>48</v>
      </c>
      <c r="Q122" s="9"/>
      <c r="R122" s="7"/>
    </row>
    <row r="123" spans="1:18" x14ac:dyDescent="0.35">
      <c r="A123" s="1">
        <v>138465</v>
      </c>
      <c r="B123" s="1" t="s">
        <v>457</v>
      </c>
      <c r="C123" s="25" t="s">
        <v>458</v>
      </c>
      <c r="D123" s="27"/>
      <c r="E123" s="27"/>
      <c r="F123" s="27"/>
      <c r="G123" s="27"/>
      <c r="H123" s="27"/>
      <c r="I123" s="27">
        <f t="shared" si="2"/>
        <v>0</v>
      </c>
      <c r="J123" s="26" t="s">
        <v>33</v>
      </c>
      <c r="K123" s="5" t="s">
        <v>34</v>
      </c>
      <c r="L123" s="5"/>
      <c r="M123" s="5"/>
      <c r="N123" s="5" t="s">
        <v>459</v>
      </c>
      <c r="O123" s="5" t="s">
        <v>375</v>
      </c>
      <c r="P123" s="5" t="s">
        <v>48</v>
      </c>
      <c r="Q123" s="9"/>
      <c r="R123" s="7"/>
    </row>
    <row r="124" spans="1:18" x14ac:dyDescent="0.35">
      <c r="A124" s="1">
        <v>262</v>
      </c>
      <c r="B124" s="1" t="s">
        <v>460</v>
      </c>
      <c r="C124" s="25" t="s">
        <v>461</v>
      </c>
      <c r="D124" s="27"/>
      <c r="E124" s="27"/>
      <c r="F124" s="27"/>
      <c r="G124" s="27"/>
      <c r="H124" s="27"/>
      <c r="I124" s="27">
        <f t="shared" si="2"/>
        <v>0</v>
      </c>
      <c r="J124" s="26" t="s">
        <v>24</v>
      </c>
      <c r="K124" s="5" t="s">
        <v>462</v>
      </c>
      <c r="L124" s="5"/>
      <c r="M124" s="5"/>
      <c r="N124" s="8" t="s">
        <v>505</v>
      </c>
      <c r="O124" s="5" t="s">
        <v>506</v>
      </c>
      <c r="P124" s="5" t="s">
        <v>28</v>
      </c>
      <c r="Q124" s="9" t="s">
        <v>507</v>
      </c>
      <c r="R124" s="7"/>
    </row>
    <row r="125" spans="1:18" x14ac:dyDescent="0.35">
      <c r="A125" s="1">
        <v>5387</v>
      </c>
      <c r="B125" s="1" t="s">
        <v>463</v>
      </c>
      <c r="C125" s="25" t="s">
        <v>464</v>
      </c>
      <c r="D125" s="27"/>
      <c r="E125" s="27"/>
      <c r="F125" s="27"/>
      <c r="G125" s="27"/>
      <c r="H125" s="27"/>
      <c r="I125" s="27">
        <f t="shared" si="2"/>
        <v>0</v>
      </c>
      <c r="J125" s="26" t="s">
        <v>33</v>
      </c>
      <c r="K125" s="5" t="s">
        <v>34</v>
      </c>
      <c r="L125" s="5"/>
      <c r="M125" s="5"/>
      <c r="N125" s="5" t="s">
        <v>465</v>
      </c>
      <c r="O125" s="5" t="s">
        <v>466</v>
      </c>
      <c r="P125" s="5" t="s">
        <v>48</v>
      </c>
      <c r="Q125" s="9"/>
      <c r="R125" s="7"/>
    </row>
    <row r="126" spans="1:18" ht="16.5" x14ac:dyDescent="0.35">
      <c r="A126" s="1">
        <v>520599</v>
      </c>
      <c r="B126" s="1" t="s">
        <v>467</v>
      </c>
      <c r="C126" s="25" t="s">
        <v>468</v>
      </c>
      <c r="D126" s="27"/>
      <c r="E126" s="27"/>
      <c r="F126" s="27"/>
      <c r="G126" s="27"/>
      <c r="H126" s="27"/>
      <c r="I126" s="27">
        <f t="shared" si="2"/>
        <v>0</v>
      </c>
      <c r="J126" s="26" t="s">
        <v>33</v>
      </c>
      <c r="K126" s="5" t="s">
        <v>34</v>
      </c>
      <c r="L126" s="5" t="s">
        <v>564</v>
      </c>
      <c r="M126" s="34" t="s">
        <v>565</v>
      </c>
      <c r="N126" s="5" t="s">
        <v>563</v>
      </c>
      <c r="O126" s="5" t="s">
        <v>469</v>
      </c>
      <c r="P126" s="5" t="s">
        <v>28</v>
      </c>
      <c r="Q126" s="9"/>
      <c r="R126" s="7"/>
    </row>
    <row r="127" spans="1:18" x14ac:dyDescent="0.35">
      <c r="A127" s="1">
        <v>609412</v>
      </c>
      <c r="B127" s="1" t="s">
        <v>470</v>
      </c>
      <c r="C127" s="25" t="s">
        <v>471</v>
      </c>
      <c r="D127" s="27"/>
      <c r="E127" s="27"/>
      <c r="F127" s="27"/>
      <c r="G127" s="27"/>
      <c r="H127" s="27"/>
      <c r="I127" s="27">
        <f t="shared" si="2"/>
        <v>0</v>
      </c>
      <c r="J127" s="26" t="s">
        <v>33</v>
      </c>
      <c r="K127" s="5" t="s">
        <v>34</v>
      </c>
      <c r="L127" s="5"/>
      <c r="M127" s="5"/>
      <c r="N127" s="5" t="s">
        <v>472</v>
      </c>
      <c r="O127" s="5" t="s">
        <v>473</v>
      </c>
      <c r="P127" s="5" t="s">
        <v>28</v>
      </c>
      <c r="Q127" s="9"/>
      <c r="R127" s="7"/>
    </row>
    <row r="128" spans="1:18" x14ac:dyDescent="0.35">
      <c r="A128" s="1">
        <v>263</v>
      </c>
      <c r="B128" s="1" t="s">
        <v>474</v>
      </c>
      <c r="C128" s="25" t="s">
        <v>475</v>
      </c>
      <c r="D128" s="27"/>
      <c r="E128" s="27"/>
      <c r="F128" s="27"/>
      <c r="G128" s="27"/>
      <c r="H128" s="27"/>
      <c r="I128" s="27">
        <f t="shared" si="2"/>
        <v>0</v>
      </c>
      <c r="J128" s="26" t="s">
        <v>24</v>
      </c>
      <c r="K128" s="5" t="s">
        <v>476</v>
      </c>
      <c r="L128" s="5"/>
      <c r="M128" s="5"/>
      <c r="N128" s="5" t="s">
        <v>477</v>
      </c>
      <c r="O128" s="5" t="s">
        <v>478</v>
      </c>
      <c r="P128" s="5" t="s">
        <v>28</v>
      </c>
      <c r="Q128" s="9">
        <v>4074</v>
      </c>
      <c r="R128" s="7"/>
    </row>
    <row r="129" spans="1:18" x14ac:dyDescent="0.35">
      <c r="A129" s="1">
        <v>486352</v>
      </c>
      <c r="B129" s="1" t="s">
        <v>479</v>
      </c>
      <c r="C129" s="25" t="s">
        <v>480</v>
      </c>
      <c r="D129" s="27"/>
      <c r="E129" s="27"/>
      <c r="F129" s="27"/>
      <c r="G129" s="27"/>
      <c r="H129" s="27"/>
      <c r="I129" s="27">
        <f t="shared" si="2"/>
        <v>0</v>
      </c>
      <c r="J129" s="26" t="s">
        <v>33</v>
      </c>
      <c r="K129" s="5" t="s">
        <v>34</v>
      </c>
      <c r="L129" s="5"/>
      <c r="M129" s="5"/>
      <c r="N129" s="5" t="s">
        <v>481</v>
      </c>
      <c r="O129" s="5" t="s">
        <v>375</v>
      </c>
      <c r="P129" s="5" t="s">
        <v>48</v>
      </c>
      <c r="Q129" s="9"/>
      <c r="R129" s="7"/>
    </row>
    <row r="130" spans="1:18" x14ac:dyDescent="0.35">
      <c r="A130" s="1">
        <v>280474</v>
      </c>
      <c r="B130" s="1" t="s">
        <v>482</v>
      </c>
      <c r="C130" s="25" t="s">
        <v>483</v>
      </c>
      <c r="D130" s="27"/>
      <c r="E130" s="27"/>
      <c r="F130" s="27"/>
      <c r="G130" s="27"/>
      <c r="H130" s="27"/>
      <c r="I130" s="27">
        <f t="shared" si="2"/>
        <v>0</v>
      </c>
      <c r="J130" s="26" t="s">
        <v>33</v>
      </c>
      <c r="K130" s="5" t="s">
        <v>34</v>
      </c>
      <c r="L130" s="5"/>
      <c r="M130" s="5"/>
      <c r="N130" s="5" t="s">
        <v>484</v>
      </c>
      <c r="O130" s="5" t="s">
        <v>88</v>
      </c>
      <c r="P130" s="5" t="s">
        <v>89</v>
      </c>
      <c r="Q130" s="9"/>
      <c r="R130" s="7"/>
    </row>
    <row r="131" spans="1:18" x14ac:dyDescent="0.35">
      <c r="A131" s="1">
        <v>490140</v>
      </c>
      <c r="B131" s="1" t="s">
        <v>485</v>
      </c>
      <c r="C131" s="25" t="s">
        <v>486</v>
      </c>
      <c r="D131" s="27"/>
      <c r="E131" s="27"/>
      <c r="F131" s="27"/>
      <c r="G131" s="27"/>
      <c r="H131" s="27"/>
      <c r="I131" s="27">
        <f t="shared" si="2"/>
        <v>0</v>
      </c>
      <c r="J131" s="26" t="s">
        <v>33</v>
      </c>
      <c r="K131" s="5" t="s">
        <v>34</v>
      </c>
      <c r="L131" s="5"/>
      <c r="M131" s="5"/>
      <c r="N131" s="5" t="s">
        <v>487</v>
      </c>
      <c r="O131" s="5" t="s">
        <v>363</v>
      </c>
      <c r="P131" s="5" t="s">
        <v>89</v>
      </c>
      <c r="Q131" s="9"/>
      <c r="R131" s="7"/>
    </row>
    <row r="132" spans="1:18" ht="16.5" x14ac:dyDescent="0.35">
      <c r="A132" s="1">
        <v>297</v>
      </c>
      <c r="B132" s="1" t="s">
        <v>488</v>
      </c>
      <c r="C132" s="25" t="s">
        <v>489</v>
      </c>
      <c r="D132" s="27"/>
      <c r="E132" s="27"/>
      <c r="F132" s="27"/>
      <c r="G132" s="27"/>
      <c r="H132" s="27"/>
      <c r="I132" s="27">
        <f t="shared" si="2"/>
        <v>0</v>
      </c>
      <c r="J132" s="26" t="s">
        <v>33</v>
      </c>
      <c r="K132" s="5" t="s">
        <v>34</v>
      </c>
      <c r="L132" s="5" t="s">
        <v>560</v>
      </c>
      <c r="M132" s="33" t="s">
        <v>561</v>
      </c>
      <c r="N132" s="5" t="s">
        <v>562</v>
      </c>
      <c r="O132" s="5" t="s">
        <v>207</v>
      </c>
      <c r="P132" s="5" t="s">
        <v>48</v>
      </c>
      <c r="Q132" s="9"/>
      <c r="R132" s="7"/>
    </row>
    <row r="133" spans="1:18" x14ac:dyDescent="0.35">
      <c r="A133" s="1">
        <v>298</v>
      </c>
      <c r="B133" s="1" t="s">
        <v>490</v>
      </c>
      <c r="C133" s="25" t="s">
        <v>491</v>
      </c>
      <c r="D133" s="27"/>
      <c r="E133" s="27"/>
      <c r="F133" s="27"/>
      <c r="G133" s="27"/>
      <c r="H133" s="27"/>
      <c r="I133" s="27">
        <f t="shared" si="2"/>
        <v>0</v>
      </c>
      <c r="J133" s="26" t="s">
        <v>24</v>
      </c>
      <c r="K133" s="5" t="s">
        <v>34</v>
      </c>
      <c r="L133" s="5"/>
      <c r="M133" s="5"/>
      <c r="N133" s="5" t="s">
        <v>512</v>
      </c>
      <c r="O133" s="5" t="s">
        <v>513</v>
      </c>
      <c r="P133" s="5" t="s">
        <v>48</v>
      </c>
      <c r="Q133" s="9" t="s">
        <v>514</v>
      </c>
      <c r="R133" s="7"/>
    </row>
    <row r="134" spans="1:18" x14ac:dyDescent="0.35">
      <c r="A134" s="1">
        <v>422793</v>
      </c>
      <c r="B134" s="1" t="s">
        <v>492</v>
      </c>
      <c r="C134" s="25" t="s">
        <v>493</v>
      </c>
      <c r="D134" s="27"/>
      <c r="E134" s="27"/>
      <c r="F134" s="27"/>
      <c r="G134" s="27"/>
      <c r="H134" s="27"/>
      <c r="I134" s="27">
        <f t="shared" si="2"/>
        <v>0</v>
      </c>
      <c r="J134" s="26" t="s">
        <v>33</v>
      </c>
      <c r="K134" s="5" t="s">
        <v>34</v>
      </c>
      <c r="L134" s="5"/>
      <c r="M134" s="5"/>
      <c r="N134" s="5" t="s">
        <v>494</v>
      </c>
      <c r="O134" s="5" t="s">
        <v>495</v>
      </c>
      <c r="P134" s="5" t="s">
        <v>48</v>
      </c>
      <c r="Q134" s="9"/>
      <c r="R134" s="7"/>
    </row>
    <row r="135" spans="1:18" x14ac:dyDescent="0.35">
      <c r="A135" s="1">
        <v>404409</v>
      </c>
      <c r="B135" s="1" t="s">
        <v>496</v>
      </c>
      <c r="C135" s="25" t="s">
        <v>497</v>
      </c>
      <c r="D135" s="27"/>
      <c r="E135" s="27"/>
      <c r="F135" s="27"/>
      <c r="G135" s="27"/>
      <c r="H135" s="27"/>
      <c r="I135" s="27">
        <f t="shared" ref="I135" si="3">SUM(D135:H135)</f>
        <v>0</v>
      </c>
      <c r="J135" s="26" t="s">
        <v>33</v>
      </c>
      <c r="K135" s="5" t="s">
        <v>34</v>
      </c>
      <c r="L135" s="5"/>
      <c r="M135" s="5"/>
      <c r="N135" s="5" t="s">
        <v>498</v>
      </c>
      <c r="O135" s="5" t="s">
        <v>218</v>
      </c>
      <c r="P135" s="5" t="s">
        <v>28</v>
      </c>
      <c r="Q135" s="9"/>
      <c r="R135" s="7"/>
    </row>
  </sheetData>
  <mergeCells count="18">
    <mergeCell ref="U14:V14"/>
    <mergeCell ref="J1:Q1"/>
    <mergeCell ref="J2:J4"/>
    <mergeCell ref="N2:N4"/>
    <mergeCell ref="O2:O4"/>
    <mergeCell ref="Q2:Q4"/>
    <mergeCell ref="K2:K4"/>
    <mergeCell ref="P2:P4"/>
    <mergeCell ref="U7:AG7"/>
    <mergeCell ref="U5:AG5"/>
    <mergeCell ref="U9:AG9"/>
    <mergeCell ref="U11:AG11"/>
    <mergeCell ref="R1:R4"/>
    <mergeCell ref="I1:I4"/>
    <mergeCell ref="A1:A4"/>
    <mergeCell ref="B1:B4"/>
    <mergeCell ref="C1:C4"/>
    <mergeCell ref="D1:H1"/>
  </mergeCells>
  <pageMargins left="0.70866141732283472" right="0.70866141732283472" top="0.74803149606299213" bottom="0.74803149606299213" header="0.31496062992125984" footer="0.31496062992125984"/>
  <pageSetup scale="48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E562EB19D39148BEA358E0A68A50A0" ma:contentTypeVersion="7" ma:contentTypeDescription="Create a new document." ma:contentTypeScope="" ma:versionID="fd013a54a856cbc9d9831d1d6d5478ba">
  <xsd:schema xmlns:xsd="http://www.w3.org/2001/XMLSchema" xmlns:xs="http://www.w3.org/2001/XMLSchema" xmlns:p="http://schemas.microsoft.com/office/2006/metadata/properties" xmlns:ns2="8442e2d7-726d-4bc8-b722-b7df06886c61" targetNamespace="http://schemas.microsoft.com/office/2006/metadata/properties" ma:root="true" ma:fieldsID="25081ec6e263ff25086f2afc51405bd0" ns2:_="">
    <xsd:import namespace="8442e2d7-726d-4bc8-b722-b7df06886c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42e2d7-726d-4bc8-b722-b7df06886c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2B703F8-265B-4E94-9A51-15EB568DFA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F9ED023-56C6-4B22-BF87-B4E11ED1C0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42e2d7-726d-4bc8-b722-b7df06886c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59FA4A-61C3-4EF9-B27C-1571C8D286E4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8442e2d7-726d-4bc8-b722-b7df06886c61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 Order</vt:lpstr>
    </vt:vector>
  </TitlesOfParts>
  <Manager/>
  <Company>Toll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Cybul</dc:creator>
  <cp:keywords/>
  <dc:description/>
  <cp:lastModifiedBy>Sruti Desai</cp:lastModifiedBy>
  <cp:revision/>
  <dcterms:created xsi:type="dcterms:W3CDTF">2019-05-14T20:43:03Z</dcterms:created>
  <dcterms:modified xsi:type="dcterms:W3CDTF">2020-11-23T23:19:18Z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W-DOC-ID">
    <vt:lpwstr>6e712df8c75548819e70d603c764e962</vt:lpwstr>
  </property>
  <property fmtid="{D5CDD505-2E9C-101B-9397-08002B2CF9AE}" pid="3" name="SW-CLASSIFICATION-ID">
    <vt:lpwstr>publicOffice</vt:lpwstr>
  </property>
  <property fmtid="{D5CDD505-2E9C-101B-9397-08002B2CF9AE}" pid="4" name="SW-CLASSIFIED-BY">
    <vt:lpwstr>justin.cybul@tollgroup.com</vt:lpwstr>
  </property>
  <property fmtid="{D5CDD505-2E9C-101B-9397-08002B2CF9AE}" pid="5" name="SW-CLASSIFICATION-DATE">
    <vt:lpwstr>2019-05-14T20:43:03.5247252Z</vt:lpwstr>
  </property>
  <property fmtid="{D5CDD505-2E9C-101B-9397-08002B2CF9AE}" pid="6" name="SW-META-DATA">
    <vt:lpwstr>!!!EGSTAMP:f4000124-2aeb-4dd2-8a01-475b1c2a9da4:publicOffice;S=0;DESCRIPTION=UNCLASSIFIED!!!</vt:lpwstr>
  </property>
  <property fmtid="{D5CDD505-2E9C-101B-9397-08002B2CF9AE}" pid="7" name="SW-CLASSIFY-HEADER">
    <vt:lpwstr/>
  </property>
  <property fmtid="{D5CDD505-2E9C-101B-9397-08002B2CF9AE}" pid="8" name="SW-CLASSIFY-FOOTER">
    <vt:lpwstr/>
  </property>
  <property fmtid="{D5CDD505-2E9C-101B-9397-08002B2CF9AE}" pid="9" name="SW-CLASSIFY-WATERMARK">
    <vt:lpwstr/>
  </property>
  <property fmtid="{D5CDD505-2E9C-101B-9397-08002B2CF9AE}" pid="10" name="ContentTypeId">
    <vt:lpwstr>0x01010092E562EB19D39148BEA358E0A68A50A0</vt:lpwstr>
  </property>
</Properties>
</file>